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Calc"/>
  <workbookPr defaultThemeVersion="153222"/>
  <bookViews>
    <workbookView xWindow="0" yWindow="0" windowWidth="16384" windowHeight="8192" activeTab="0" tabRatio="500"/>
  </bookViews>
  <sheets>
    <sheet name="Time Log" sheetId="1" r:id="rId1"/>
    <sheet name="Comparison" sheetId="2" r:id="rId2"/>
  </sheets>
  <definedNames/>
  <calcPr iterateDelta="1.0E-4"/>
</workbook>
</file>

<file path=xl/sharedStrings.xml><?xml version="1.0" encoding="utf-8"?>
<sst xmlns="http://schemas.openxmlformats.org/spreadsheetml/2006/main" uniqueCount="56" count="56">
  <si>
    <t>Time Log: AI vs No AI drafting time</t>
  </si>
  <si>
    <t>Yellow cells are for you to fill. Black cells are formulas. Use the exact task names listed on the Comparison tab. Log time spent checking and fixing AI output in separate rows named "Verification of AI output" (Method = AI).</t>
  </si>
  <si>
    <t>Task</t>
  </si>
  <si>
    <t>Method (AI / No AI)</t>
  </si>
  <si>
    <t>Start</t>
  </si>
  <si>
    <t>End</t>
  </si>
  <si>
    <t>Minutes</t>
  </si>
  <si>
    <t>Notes</t>
  </si>
  <si>
    <t>EXAMPLE (delete this row)</t>
  </si>
  <si>
    <t>No AI</t>
  </si>
  <si>
    <t>Example only: wrote the 150-word summary by hand with a timer. Overwrite or delete.</t>
  </si>
  <si>
    <t>AI-assisted vs unassisted drafting time</t>
  </si>
  <si>
    <t>Minutes are pulled from the Time Log by task name and method. Yellow cells are for you. Blank means no time logged yet.</t>
  </si>
  <si>
    <t>Minutes without AI</t>
  </si>
  <si>
    <t>Minutes with AI</t>
  </si>
  <si>
    <t>Minutes saved</t>
  </si>
  <si>
    <t>% saved</t>
  </si>
  <si>
    <t>Evidence (Measured / Estimated)</t>
  </si>
  <si>
    <t>Quality of AI first draft (1 to 5)</t>
  </si>
  <si>
    <t>Executive summary</t>
  </si>
  <si>
    <t>Market section</t>
  </si>
  <si>
    <t>Operations section</t>
  </si>
  <si>
    <t>Marketing section</t>
  </si>
  <si>
    <t>Financial outline</t>
  </si>
  <si>
    <t>Revenue model (Sheets)</t>
  </si>
  <si>
    <t>Slide deck</t>
  </si>
  <si>
    <t>Total (tasks with both times logged)</t>
  </si>
  <si>
    <t>Summary after checking</t>
  </si>
  <si>
    <t>Measure</t>
  </si>
  <si>
    <t>Value</t>
  </si>
  <si>
    <t>Minutes saved by AI before checking</t>
  </si>
  <si>
    <t>Minutes spent verifying AI output (Time Log, task "Verification of AI output")</t>
  </si>
  <si>
    <t>Net minutes saved after verification</t>
  </si>
  <si>
    <t>Net % saved</t>
  </si>
  <si>
    <t>How to keep the comparison fair</t>
  </si>
  <si>
    <t>1. Do not write the same section twice. The second attempt is faster because you already know the content. Use different but similar sections, or have a peer draft one of them.</t>
  </si>
  <si>
    <t>2. Start the AI clock when you write the first prompt and stop it when the section is good enough to use, including editing.</t>
  </si>
  <si>
    <t>3. Log checking and fixing time in a separate "Verification of AI output" row. A fast draft that needs an hour of fact-checking is not a big saving.</t>
  </si>
  <si>
    <t>4. If you estimate a no-AI time instead of measuring it, mark the row Estimated and say so in your report.</t>
  </si>
  <si>
    <t>5. Rate each AI first draft from 1 (unusable) to 5 (use as is) before you edit it. Pair the rating with the time saved.</t>
  </si>
  <si>
    <t>EXAMPLE (delete this row</t>
  </si>
  <si>
    <t>Reveal model</t>
  </si>
  <si>
    <t xml:space="preserve"> AI</t>
  </si>
  <si>
    <t xml:space="preserve">Business plan </t>
  </si>
  <si>
    <t>Revenue model</t>
  </si>
  <si>
    <t xml:space="preserve">Deck 6 slides </t>
  </si>
  <si>
    <t>Error log</t>
  </si>
  <si>
    <t xml:space="preserve">verification report </t>
  </si>
  <si>
    <t xml:space="preserve">Time comparison </t>
  </si>
  <si>
    <t xml:space="preserve">Prompt library </t>
  </si>
  <si>
    <t xml:space="preserve">Before/ After analysis </t>
  </si>
  <si>
    <t>Final demo</t>
  </si>
  <si>
    <t xml:space="preserve">Mentor review </t>
  </si>
  <si>
    <t xml:space="preserve">Summary </t>
  </si>
  <si>
    <t>Summary</t>
  </si>
  <si>
    <t>AI</t>
  </si>
</sst>
</file>

<file path=xl/styles.xml><?xml version="1.0" encoding="utf-8"?>
<styleSheet xmlns="http://schemas.openxmlformats.org/spreadsheetml/2006/main">
  <numFmts count="5">
    <numFmt numFmtId="0" formatCode="General"/>
    <numFmt numFmtId="20" formatCode="h:mm"/>
    <numFmt numFmtId="1" formatCode="0"/>
    <numFmt numFmtId="164" formatCode="0;\(0\);\-"/>
    <numFmt numFmtId="165" formatCode="0.0%;\(0.0%\);\-"/>
  </numFmts>
  <fonts count="9">
    <font>
      <name val="Calibri"/>
      <sz val="11"/>
    </font>
    <font>
      <name val="Arial"/>
      <b/>
      <charset val="1"/>
      <sz val="14"/>
      <color rgb="FF000000"/>
    </font>
    <font>
      <name val="Arial"/>
      <i/>
      <charset val="1"/>
      <sz val="9"/>
      <color rgb="FF555555"/>
    </font>
    <font>
      <name val="Arial"/>
      <b/>
      <charset val="1"/>
      <sz val="10"/>
      <color rgb="FFFFFFFF"/>
    </font>
    <font>
      <name val="Arial"/>
      <charset val="1"/>
      <sz val="10"/>
      <color rgb="FF000000"/>
    </font>
    <font>
      <name val="Arial"/>
      <charset val="1"/>
      <sz val="10"/>
      <color rgb="FF0000FF"/>
    </font>
    <font>
      <name val="Arial"/>
      <i/>
      <charset val="1"/>
      <sz val="10"/>
      <color rgb="FF555555"/>
    </font>
    <font>
      <name val="Arial"/>
      <b/>
      <charset val="1"/>
      <sz val="10"/>
      <color rgb="FF000000"/>
    </font>
    <font>
      <name val="Arial"/>
      <charset val="1"/>
      <sz val="9"/>
      <color rgb="FF000000"/>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lignment vertical="center"/>
    </xf>
  </cellStyleXfs>
  <cellXfs count="20">
    <xf numFmtId="0" fontId="0" fillId="0" borderId="0" xfId="0">
      <alignment vertical="center"/>
    </xf>
    <xf numFmtId="0" fontId="1" fillId="0" borderId="0" xfId="0" applyFont="1" applyAlignment="1">
      <alignment vertical="bottom"/>
    </xf>
    <xf numFmtId="0" fontId="2" fillId="0" borderId="0" xfId="0" applyFont="1" applyAlignment="1">
      <alignment vertical="bottom"/>
    </xf>
    <xf numFmtId="0" fontId="3" fillId="2" borderId="1" xfId="0" applyFont="1" applyBorder="1" applyAlignment="1">
      <alignment horizontal="center" vertical="center" wrapText="1"/>
    </xf>
    <xf numFmtId="0" fontId="4" fillId="0" borderId="1" xfId="0" applyFont="1" applyBorder="1" applyAlignment="1">
      <alignment vertical="bottom"/>
    </xf>
    <xf numFmtId="20" fontId="5" fillId="0" borderId="1" xfId="0" applyFont="1" applyBorder="1" applyAlignment="1">
      <alignment vertical="bottom"/>
    </xf>
    <xf numFmtId="1" fontId="4" fillId="0" borderId="1" xfId="0" applyFont="1" applyBorder="1" applyAlignment="1">
      <alignment vertical="bottom"/>
    </xf>
    <xf numFmtId="0" fontId="6" fillId="0" borderId="1" xfId="0" applyFont="1" applyBorder="1" applyAlignment="1">
      <alignment vertical="bottom"/>
    </xf>
    <xf numFmtId="0" fontId="4" fillId="3" borderId="1" xfId="0" applyFont="1" applyBorder="1" applyAlignment="1">
      <alignment vertical="bottom"/>
    </xf>
    <xf numFmtId="20" fontId="4" fillId="3" borderId="1" xfId="0" applyFont="1" applyBorder="1" applyAlignment="1">
      <alignment vertical="bottom"/>
    </xf>
    <xf numFmtId="0" fontId="5" fillId="0" borderId="1" xfId="0" applyFont="1" applyBorder="1" applyAlignment="1">
      <alignment vertical="bottom"/>
    </xf>
    <xf numFmtId="164" fontId="4" fillId="0" borderId="1" xfId="0" applyFont="1" applyBorder="1" applyAlignment="1">
      <alignment vertical="bottom"/>
    </xf>
    <xf numFmtId="165" fontId="4" fillId="0" borderId="1" xfId="0" applyFont="1" applyBorder="1" applyAlignment="1">
      <alignment vertical="bottom"/>
    </xf>
    <xf numFmtId="0" fontId="7" fillId="0" borderId="1" xfId="0" applyFont="1" applyBorder="1" applyAlignment="1">
      <alignment vertical="bottom"/>
    </xf>
    <xf numFmtId="1" fontId="7" fillId="4" borderId="1" xfId="0" applyFont="1" applyBorder="1" applyAlignment="1">
      <alignment vertical="bottom"/>
    </xf>
    <xf numFmtId="164" fontId="7" fillId="4" borderId="1" xfId="0" applyFont="1" applyBorder="1" applyAlignment="1">
      <alignment vertical="bottom"/>
    </xf>
    <xf numFmtId="165" fontId="7" fillId="4" borderId="1" xfId="0" applyFont="1" applyBorder="1" applyAlignment="1">
      <alignment vertical="bottom"/>
    </xf>
    <xf numFmtId="0" fontId="4" fillId="4" borderId="1" xfId="0" applyFont="1" applyBorder="1" applyAlignment="1">
      <alignment vertical="bottom"/>
    </xf>
    <xf numFmtId="0" fontId="7" fillId="0" borderId="0" xfId="0" applyFont="1" applyAlignment="1">
      <alignment vertical="bottom"/>
    </xf>
    <xf numFmtId="0" fontId="8" fillId="0" borderId="0" xfId="0" applyFont="1" applyAlignment="1">
      <alignment vertical="bottom"/>
    </xf>
  </cellXfs>
  <cellStyles count="1">
    <cellStyle name="常规" xfId="0" builtinId="0"/>
  </cellStyles>
  <dxfs count="0"/>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2F2F2"/>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555555"/>
      <rgbColor rgb="00969696"/>
      <rgbColor rgb="001F3864"/>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www.wps.cn/officeDocument/2020/cellImage" Target="cellimages.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G45"/>
  <sheetViews>
    <sheetView tabSelected="1" workbookViewId="0" zoomScale="64">
      <pane ySplit="4" topLeftCell="A5" state="frozen" activePane="bottomLeft"/>
      <selection pane="bottomLeft" activeCell="B15" sqref="B15"/>
    </sheetView>
  </sheetViews>
  <sheetFormatPr defaultRowHeight="15.0" zeroHeight="1"/>
  <cols>
    <col min="1" max="1" customWidth="1" width="42.0" style="0"/>
    <col min="2" max="2" customWidth="1" width="20.0" style="0"/>
    <col min="3" max="5" customWidth="1" width="10.0" style="0"/>
    <col min="6" max="6" customWidth="1" width="70.0" style="0"/>
  </cols>
  <sheetData>
    <row r="1" spans="8:8" ht="17.35">
      <c r="A1" s="1" t="s">
        <v>0</v>
      </c>
    </row>
    <row r="2" spans="8:8" ht="15.0">
      <c r="A2" s="2" t="s">
        <v>1</v>
      </c>
    </row>
    <row r="4" spans="8:8" ht="15.0">
      <c r="A4" s="3" t="s">
        <v>2</v>
      </c>
      <c r="B4" s="3" t="s">
        <v>3</v>
      </c>
      <c r="C4" s="3" t="s">
        <v>4</v>
      </c>
      <c r="D4" s="3" t="s">
        <v>5</v>
      </c>
      <c r="E4" s="3" t="s">
        <v>6</v>
      </c>
      <c r="F4" s="3" t="s">
        <v>7</v>
      </c>
    </row>
    <row r="5" spans="8:8" ht="15.0">
      <c r="A5" s="4" t="s">
        <v>43</v>
      </c>
      <c r="B5" s="4" t="s">
        <v>42</v>
      </c>
      <c r="C5" s="5">
        <v>0.416666667</v>
      </c>
      <c r="D5" s="5">
        <v>0.440972222</v>
      </c>
      <c r="E5" s="6">
        <f>IF(OR(C5="",D5=""),"",ROUND(MOD(D5-C5,1)*1440,0))</f>
        <v>35.0</v>
      </c>
      <c r="F5" s="7" t="s">
        <v>10</v>
      </c>
    </row>
    <row r="6" spans="8:8" ht="21.75">
      <c r="A6" s="8" t="s">
        <v>44</v>
      </c>
      <c r="B6" s="8" t="s">
        <v>55</v>
      </c>
      <c r="C6" s="9"/>
      <c r="D6" s="9"/>
      <c r="E6" s="6" t="str">
        <f>IF(OR(C6="",D6=""),"",ROUND(MOD(D6-C6,1)*1440,0))</f>
        <v/>
      </c>
      <c r="F6" s="8"/>
    </row>
    <row r="7" spans="8:8" ht="21.75">
      <c r="A7" s="8" t="s">
        <v>45</v>
      </c>
      <c r="B7" s="8" t="s">
        <v>55</v>
      </c>
      <c r="C7" s="9"/>
      <c r="D7" s="9"/>
      <c r="E7" s="6" t="str">
        <f>IF(OR(C7="",D7=""),"",ROUND(MOD(D7-C7,1)*1440,0))</f>
        <v/>
      </c>
      <c r="F7" s="8"/>
    </row>
    <row r="8" spans="8:8" ht="21.75">
      <c r="A8" s="8" t="s">
        <v>46</v>
      </c>
      <c r="B8" s="8" t="s">
        <v>55</v>
      </c>
      <c r="C8" s="9"/>
      <c r="D8" s="9"/>
      <c r="E8" s="6" t="str">
        <f>IF(OR(C8="",D8=""),"",ROUND(MOD(D8-C8,1)*1440,0))</f>
        <v/>
      </c>
      <c r="F8" s="8"/>
    </row>
    <row r="9" spans="8:8" ht="21.75">
      <c r="A9" s="8" t="s">
        <v>47</v>
      </c>
      <c r="B9" s="8" t="s">
        <v>55</v>
      </c>
      <c r="C9" s="9"/>
      <c r="D9" s="9"/>
      <c r="E9" s="6" t="str">
        <f>IF(OR(C9="",D9=""),"",ROUND(MOD(D9-C9,1)*1440,0))</f>
        <v/>
      </c>
      <c r="F9" s="8"/>
    </row>
    <row r="10" spans="8:8" ht="21.75">
      <c r="A10" s="8" t="s">
        <v>48</v>
      </c>
      <c r="B10" s="8" t="s">
        <v>55</v>
      </c>
      <c r="C10" s="9"/>
      <c r="D10" s="9"/>
      <c r="E10" s="6" t="str">
        <f>IF(OR(C10="",D10=""),"",ROUND(MOD(D10-C10,1)*1440,0))</f>
        <v/>
      </c>
      <c r="F10" s="8"/>
    </row>
    <row r="11" spans="8:8" ht="21.75">
      <c r="A11" s="8" t="s">
        <v>49</v>
      </c>
      <c r="B11" s="8" t="s">
        <v>55</v>
      </c>
      <c r="C11" s="9"/>
      <c r="D11" s="9"/>
      <c r="E11" s="6" t="str">
        <f>IF(OR(C11="",D11=""),"",ROUND(MOD(D11-C11,1)*1440,0))</f>
        <v/>
      </c>
      <c r="F11" s="8"/>
    </row>
    <row r="12" spans="8:8" ht="15.0">
      <c r="A12" s="8" t="s">
        <v>50</v>
      </c>
      <c r="B12" s="8" t="s">
        <v>55</v>
      </c>
      <c r="C12" s="9"/>
      <c r="D12" s="9"/>
      <c r="E12" s="6" t="str">
        <f>IF(OR(C12="",D12=""),"",ROUND(MOD(D12-C12,1)*1440,0))</f>
        <v/>
      </c>
      <c r="F12" s="8"/>
    </row>
    <row r="13" spans="8:8" ht="15.0">
      <c r="A13" s="8" t="s">
        <v>51</v>
      </c>
      <c r="B13" s="8" t="s">
        <v>55</v>
      </c>
      <c r="C13" s="9"/>
      <c r="D13" s="9"/>
      <c r="E13" s="6" t="str">
        <f>IF(OR(C13="",D13=""),"",ROUND(MOD(D13-C13,1)*1440,0))</f>
        <v/>
      </c>
      <c r="F13" s="8"/>
    </row>
    <row r="14" spans="8:8" ht="15.0">
      <c r="A14" s="8" t="s">
        <v>52</v>
      </c>
      <c r="B14" s="8" t="s">
        <v>55</v>
      </c>
      <c r="C14" s="9"/>
      <c r="D14" s="9"/>
      <c r="E14" s="6" t="str">
        <f>IF(OR(C14="",D14=""),"",ROUND(MOD(D14-C14,1)*1440,0))</f>
        <v/>
      </c>
      <c r="F14" s="8"/>
    </row>
    <row r="15" spans="8:8" ht="21.75">
      <c r="A15" s="8" t="s">
        <v>54</v>
      </c>
      <c r="B15" s="8" t="s">
        <v>55</v>
      </c>
      <c r="C15" s="9"/>
      <c r="D15" s="9"/>
      <c r="E15" s="6" t="str">
        <f>IF(OR(C15="",D15=""),"",ROUND(MOD(D15-C15,1)*1440,0))</f>
        <v/>
      </c>
      <c r="F15" s="8"/>
    </row>
    <row r="16" spans="8:8" ht="15.0">
      <c r="A16" s="8"/>
      <c r="B16" s="8"/>
      <c r="C16" s="9"/>
      <c r="D16" s="9"/>
      <c r="E16" s="6" t="str">
        <f>IF(OR(C16="",D16=""),"",ROUND(MOD(D16-C16,1)*1440,0))</f>
        <v/>
      </c>
      <c r="F16" s="8"/>
    </row>
    <row r="17" spans="8:8" ht="15.0">
      <c r="A17" s="8"/>
      <c r="B17" s="8"/>
      <c r="C17" s="9"/>
      <c r="D17" s="9"/>
      <c r="E17" s="6" t="str">
        <f>IF(OR(C17="",D17=""),"",ROUND(MOD(D17-C17,1)*1440,0))</f>
        <v/>
      </c>
      <c r="F17" s="8"/>
    </row>
    <row r="18" spans="8:8" ht="15.0">
      <c r="A18" s="8"/>
      <c r="B18" s="8"/>
      <c r="C18" s="9"/>
      <c r="D18" s="9"/>
      <c r="E18" s="6" t="str">
        <f>IF(OR(C18="",D18=""),"",ROUND(MOD(D18-C18,1)*1440,0))</f>
        <v/>
      </c>
      <c r="F18" s="8"/>
    </row>
    <row r="19" spans="8:8" ht="15.0">
      <c r="A19" s="8"/>
      <c r="B19" s="8"/>
      <c r="C19" s="9"/>
      <c r="D19" s="9"/>
      <c r="E19" s="6" t="str">
        <f>IF(OR(C19="",D19=""),"",ROUND(MOD(D19-C19,1)*1440,0))</f>
        <v/>
      </c>
      <c r="F19" s="8"/>
    </row>
    <row r="20" spans="8:8" ht="15.0">
      <c r="A20" s="8"/>
      <c r="B20" s="8"/>
      <c r="C20" s="9"/>
      <c r="D20" s="9"/>
      <c r="E20" s="6" t="str">
        <f>IF(OR(C20="",D20=""),"",ROUND(MOD(D20-C20,1)*1440,0))</f>
        <v/>
      </c>
      <c r="F20" s="8"/>
    </row>
    <row r="21" spans="8:8" ht="15.0">
      <c r="A21" s="8"/>
      <c r="B21" s="8"/>
      <c r="C21" s="9"/>
      <c r="D21" s="9"/>
      <c r="E21" s="6" t="str">
        <f>IF(OR(C21="",D21=""),"",ROUND(MOD(D21-C21,1)*1440,0))</f>
        <v/>
      </c>
      <c r="F21" s="8"/>
    </row>
    <row r="22" spans="8:8" ht="15.0">
      <c r="A22" s="8"/>
      <c r="B22" s="8"/>
      <c r="C22" s="9"/>
      <c r="D22" s="9"/>
      <c r="E22" s="6" t="str">
        <f>IF(OR(C22="",D22=""),"",ROUND(MOD(D22-C22,1)*1440,0))</f>
        <v/>
      </c>
      <c r="F22" s="8"/>
    </row>
    <row r="23" spans="8:8" ht="15.0">
      <c r="A23" s="8"/>
      <c r="B23" s="8"/>
      <c r="C23" s="9"/>
      <c r="D23" s="9"/>
      <c r="E23" s="6" t="str">
        <f>IF(OR(C23="",D23=""),"",ROUND(MOD(D23-C23,1)*1440,0))</f>
        <v/>
      </c>
      <c r="F23" s="8"/>
    </row>
    <row r="24" spans="8:8" ht="15.0">
      <c r="A24" s="8"/>
      <c r="B24" s="8"/>
      <c r="C24" s="9"/>
      <c r="D24" s="9"/>
      <c r="E24" s="6" t="str">
        <f>IF(OR(C24="",D24=""),"",ROUND(MOD(D24-C24,1)*1440,0))</f>
        <v/>
      </c>
      <c r="F24" s="8"/>
    </row>
    <row r="25" spans="8:8" ht="15.0">
      <c r="A25" s="8"/>
      <c r="B25" s="8"/>
      <c r="C25" s="9"/>
      <c r="D25" s="9"/>
      <c r="E25" s="6" t="str">
        <f>IF(OR(C25="",D25=""),"",ROUND(MOD(D25-C25,1)*1440,0))</f>
        <v/>
      </c>
      <c r="F25" s="8"/>
    </row>
    <row r="26" spans="8:8" ht="15.0">
      <c r="A26" s="8"/>
      <c r="B26" s="8"/>
      <c r="C26" s="9"/>
      <c r="D26" s="9"/>
      <c r="E26" s="6" t="str">
        <f>IF(OR(C26="",D26=""),"",ROUND(MOD(D26-C26,1)*1440,0))</f>
        <v/>
      </c>
      <c r="F26" s="8"/>
    </row>
    <row r="27" spans="8:8" ht="15.0">
      <c r="A27" s="8"/>
      <c r="B27" s="8"/>
      <c r="C27" s="9"/>
      <c r="D27" s="9"/>
      <c r="E27" s="6" t="str">
        <f>IF(OR(C27="",D27=""),"",ROUND(MOD(D27-C27,1)*1440,0))</f>
        <v/>
      </c>
      <c r="F27" s="8"/>
    </row>
    <row r="28" spans="8:8" ht="15.0">
      <c r="A28" s="8"/>
      <c r="B28" s="8"/>
      <c r="C28" s="9"/>
      <c r="D28" s="9"/>
      <c r="E28" s="6" t="str">
        <f>IF(OR(C28="",D28=""),"",ROUND(MOD(D28-C28,1)*1440,0))</f>
        <v/>
      </c>
      <c r="F28" s="8"/>
    </row>
    <row r="29" spans="8:8" ht="15.0">
      <c r="A29" s="8"/>
      <c r="B29" s="8"/>
      <c r="C29" s="9"/>
      <c r="D29" s="9"/>
      <c r="E29" s="6" t="str">
        <f>IF(OR(C29="",D29=""),"",ROUND(MOD(D29-C29,1)*1440,0))</f>
        <v/>
      </c>
      <c r="F29" s="8"/>
    </row>
    <row r="30" spans="8:8" ht="15.0">
      <c r="A30" s="8"/>
      <c r="B30" s="8"/>
      <c r="C30" s="9"/>
      <c r="D30" s="9"/>
      <c r="E30" s="6" t="str">
        <f>IF(OR(C30="",D30=""),"",ROUND(MOD(D30-C30,1)*1440,0))</f>
        <v/>
      </c>
      <c r="F30" s="8"/>
    </row>
    <row r="31" spans="8:8" ht="15.0">
      <c r="A31" s="8"/>
      <c r="B31" s="8"/>
      <c r="C31" s="9"/>
      <c r="D31" s="9"/>
      <c r="E31" s="6" t="str">
        <f>IF(OR(C31="",D31=""),"",ROUND(MOD(D31-C31,1)*1440,0))</f>
        <v/>
      </c>
      <c r="F31" s="8"/>
    </row>
    <row r="32" spans="8:8" ht="15.0">
      <c r="A32" s="8"/>
      <c r="B32" s="8"/>
      <c r="C32" s="9"/>
      <c r="D32" s="9"/>
      <c r="E32" s="6" t="str">
        <f>IF(OR(C32="",D32=""),"",ROUND(MOD(D32-C32,1)*1440,0))</f>
        <v/>
      </c>
      <c r="F32" s="8"/>
    </row>
    <row r="33" spans="8:8" ht="15.0">
      <c r="A33" s="8"/>
      <c r="B33" s="8"/>
      <c r="C33" s="9"/>
      <c r="D33" s="9"/>
      <c r="E33" s="6" t="str">
        <f>IF(OR(C33="",D33=""),"",ROUND(MOD(D33-C33,1)*1440,0))</f>
        <v/>
      </c>
      <c r="F33" s="8"/>
    </row>
    <row r="34" spans="8:8" ht="15.0">
      <c r="A34" s="8"/>
      <c r="B34" s="8"/>
      <c r="C34" s="9"/>
      <c r="D34" s="9"/>
      <c r="E34" s="6" t="str">
        <f>IF(OR(C34="",D34=""),"",ROUND(MOD(D34-C34,1)*1440,0))</f>
        <v/>
      </c>
      <c r="F34" s="8"/>
    </row>
    <row r="35" spans="8:8" ht="15.0">
      <c r="A35" s="8"/>
      <c r="B35" s="8"/>
      <c r="C35" s="9"/>
      <c r="D35" s="9"/>
      <c r="E35" s="6" t="str">
        <f>IF(OR(C35="",D35=""),"",ROUND(MOD(D35-C35,1)*1440,0))</f>
        <v/>
      </c>
      <c r="F35" s="8"/>
    </row>
    <row r="36" spans="8:8" ht="15.0">
      <c r="A36" s="8"/>
      <c r="B36" s="8"/>
      <c r="C36" s="9"/>
      <c r="D36" s="9"/>
      <c r="E36" s="6" t="str">
        <f>IF(OR(C36="",D36=""),"",ROUND(MOD(D36-C36,1)*1440,0))</f>
        <v/>
      </c>
      <c r="F36" s="8"/>
    </row>
    <row r="37" spans="8:8" ht="15.0">
      <c r="A37" s="8"/>
      <c r="B37" s="8"/>
      <c r="C37" s="9"/>
      <c r="D37" s="9"/>
      <c r="E37" s="6" t="str">
        <f>IF(OR(C37="",D37=""),"",ROUND(MOD(D37-C37,1)*1440,0))</f>
        <v/>
      </c>
      <c r="F37" s="8"/>
    </row>
    <row r="38" spans="8:8" ht="15.0">
      <c r="A38" s="8"/>
      <c r="B38" s="8"/>
      <c r="C38" s="9"/>
      <c r="D38" s="9"/>
      <c r="E38" s="6" t="str">
        <f>IF(OR(C38="",D38=""),"",ROUND(MOD(D38-C38,1)*1440,0))</f>
        <v/>
      </c>
      <c r="F38" s="8"/>
    </row>
    <row r="39" spans="8:8" ht="15.0">
      <c r="A39" s="8"/>
      <c r="B39" s="8"/>
      <c r="C39" s="9"/>
      <c r="D39" s="9"/>
      <c r="E39" s="6" t="str">
        <f>IF(OR(C39="",D39=""),"",ROUND(MOD(D39-C39,1)*1440,0))</f>
        <v/>
      </c>
      <c r="F39" s="8"/>
    </row>
    <row r="40" spans="8:8" ht="15.0">
      <c r="A40" s="8"/>
      <c r="B40" s="8"/>
      <c r="C40" s="9"/>
      <c r="D40" s="9"/>
      <c r="E40" s="6" t="str">
        <f>IF(OR(C40="",D40=""),"",ROUND(MOD(D40-C40,1)*1440,0))</f>
        <v/>
      </c>
      <c r="F40" s="8"/>
    </row>
    <row r="41" spans="8:8" ht="15.0">
      <c r="A41" s="8"/>
      <c r="B41" s="8"/>
      <c r="C41" s="9"/>
      <c r="D41" s="9"/>
      <c r="E41" s="6" t="str">
        <f>IF(OR(C41="",D41=""),"",ROUND(MOD(D41-C41,1)*1440,0))</f>
        <v/>
      </c>
      <c r="F41" s="8"/>
    </row>
    <row r="42" spans="8:8" ht="15.0">
      <c r="A42" s="8"/>
      <c r="B42" s="8"/>
      <c r="C42" s="9"/>
      <c r="D42" s="9"/>
      <c r="E42" s="6" t="str">
        <f>IF(OR(C42="",D42=""),"",ROUND(MOD(D42-C42,1)*1440,0))</f>
        <v/>
      </c>
      <c r="F42" s="8"/>
    </row>
    <row r="43" spans="8:8" ht="15.0">
      <c r="A43" s="8"/>
      <c r="B43" s="8"/>
      <c r="C43" s="9"/>
      <c r="D43" s="9"/>
      <c r="E43" s="6" t="str">
        <f>IF(OR(C43="",D43=""),"",ROUND(MOD(D43-C43,1)*1440,0))</f>
        <v/>
      </c>
      <c r="F43" s="8"/>
    </row>
    <row r="44" spans="8:8" ht="15.0">
      <c r="A44" s="8"/>
      <c r="B44" s="8"/>
      <c r="C44" s="9"/>
      <c r="D44" s="9"/>
      <c r="E44" s="6" t="str">
        <f>IF(OR(C44="",D44=""),"",ROUND(MOD(D44-C44,1)*1440,0))</f>
        <v/>
      </c>
      <c r="F44" s="8"/>
    </row>
    <row r="45" spans="8:8" ht="15.0">
      <c r="A45" s="8"/>
      <c r="B45" s="8"/>
      <c r="C45" s="9"/>
      <c r="D45" s="9"/>
      <c r="E45" s="6" t="str">
        <f>IF(OR(C45="",D45=""),"",ROUND(MOD(D45-C45,1)*1440,0))</f>
        <v/>
      </c>
      <c r="F45" s="8"/>
    </row>
  </sheetData>
  <dataValidations count="1">
    <dataValidation allowBlank="1" type="list" errorStyle="stop" sqref="B5:B45">
      <formula1>"AI,No AI"</formula1>
      <formula2>0</formula2>
    </dataValidation>
  </dataValidations>
  <pageMargins left="0.75" right="0.75" top="1.0" bottom="1.0" header="0.511811023622047" footer="0.511811023622047"/>
  <pageSetup paperSize="9"/>
</worksheet>
</file>

<file path=xl/worksheets/sheet2.xml><?xml version="1.0" encoding="utf-8"?>
<worksheet xmlns:r="http://schemas.openxmlformats.org/officeDocument/2006/relationships" xmlns="http://schemas.openxmlformats.org/spreadsheetml/2006/main">
  <dimension ref="A1:I26"/>
  <sheetViews>
    <sheetView workbookViewId="0">
      <selection activeCell="A1" sqref="A1"/>
    </sheetView>
  </sheetViews>
  <sheetFormatPr defaultRowHeight="15.0" zeroHeight="1"/>
  <cols>
    <col min="1" max="1" customWidth="1" width="66.0" style="0"/>
    <col min="2" max="2" customWidth="1" width="18.0" style="0"/>
    <col min="3" max="4" customWidth="1" width="16.0" style="0"/>
    <col min="5" max="5" customWidth="1" width="12.0" style="0"/>
    <col min="6" max="6" customWidth="1" width="26.0" style="0"/>
    <col min="7" max="7" customWidth="1" width="22.0" style="0"/>
    <col min="8" max="8" customWidth="1" width="40.0" style="0"/>
  </cols>
  <sheetData>
    <row r="1" spans="8:8" ht="17.35">
      <c r="A1" s="1" t="s">
        <v>11</v>
      </c>
    </row>
    <row r="2" spans="8:8" ht="15.0">
      <c r="A2" s="2" t="s">
        <v>12</v>
      </c>
    </row>
    <row r="4" spans="8:8" ht="42.0" customHeight="1">
      <c r="A4" s="3" t="s">
        <v>2</v>
      </c>
      <c r="B4" s="3" t="s">
        <v>13</v>
      </c>
      <c r="C4" s="3" t="s">
        <v>14</v>
      </c>
      <c r="D4" s="3" t="s">
        <v>15</v>
      </c>
      <c r="E4" s="3" t="s">
        <v>16</v>
      </c>
      <c r="F4" s="3" t="s">
        <v>17</v>
      </c>
      <c r="G4" s="3" t="s">
        <v>18</v>
      </c>
      <c r="H4" s="3" t="s">
        <v>7</v>
      </c>
    </row>
    <row r="5" spans="8:8" ht="15.0">
      <c r="A5" s="10" t="s">
        <v>19</v>
      </c>
      <c r="B5" s="6" t="str">
        <f>IF(_xlfn.COUNTIFS('Time Log'!$A$5:$A$45,$A5,'Time Log'!$B$5:$B$45,"No AI")=0,"",_xlfn.SUMIFS('Time Log'!$E$5:$E$45,'Time Log'!$A$5:$A$45,$A5,'Time Log'!$B$5:$B$45,"No AI"))</f>
        <v/>
      </c>
      <c r="C5" s="6" t="str">
        <f>IF(_xlfn.COUNTIFS('Time Log'!$A$5:$A$45,$A5,'Time Log'!$B$5:$B$45,"AI")=0,"",_xlfn.SUMIFS('Time Log'!$E$5:$E$45,'Time Log'!$A$5:$A$45,$A5,'Time Log'!$B$5:$B$45,"AI"))</f>
        <v/>
      </c>
      <c r="D5" s="11" t="str">
        <f>IF(OR(B5="",C5=""),"",B5-C5)</f>
        <v/>
      </c>
      <c r="E5" s="12" t="str">
        <f>IF(OR(B5="",C5="",B5=0),"",D5/B5)</f>
        <v/>
      </c>
      <c r="F5" s="8"/>
      <c r="G5" s="8"/>
      <c r="H5" s="8"/>
    </row>
    <row r="6" spans="8:8" ht="15.0">
      <c r="A6" s="10" t="s">
        <v>20</v>
      </c>
      <c r="B6" s="6" t="str">
        <f>IF(_xlfn.COUNTIFS('Time Log'!$A$5:$A$45,$A6,'Time Log'!$B$5:$B$45,"No AI")=0,"",_xlfn.SUMIFS('Time Log'!$E$5:$E$45,'Time Log'!$A$5:$A$45,$A6,'Time Log'!$B$5:$B$45,"No AI"))</f>
        <v/>
      </c>
      <c r="C6" s="6" t="str">
        <f>IF(_xlfn.COUNTIFS('Time Log'!$A$5:$A$45,$A6,'Time Log'!$B$5:$B$45,"AI")=0,"",_xlfn.SUMIFS('Time Log'!$E$5:$E$45,'Time Log'!$A$5:$A$45,$A6,'Time Log'!$B$5:$B$45,"AI"))</f>
        <v/>
      </c>
      <c r="D6" s="11" t="str">
        <f>IF(OR(B6="",C6=""),"",B6-C6)</f>
        <v/>
      </c>
      <c r="E6" s="12" t="str">
        <f>IF(OR(B6="",C6="",B6=0),"",D6/B6)</f>
        <v/>
      </c>
      <c r="F6" s="8"/>
      <c r="G6" s="8"/>
      <c r="H6" s="8"/>
    </row>
    <row r="7" spans="8:8" ht="15.0">
      <c r="A7" s="10" t="s">
        <v>21</v>
      </c>
      <c r="B7" s="6" t="str">
        <f>IF(_xlfn.COUNTIFS('Time Log'!$A$5:$A$45,$A7,'Time Log'!$B$5:$B$45,"No AI")=0,"",_xlfn.SUMIFS('Time Log'!$E$5:$E$45,'Time Log'!$A$5:$A$45,$A7,'Time Log'!$B$5:$B$45,"No AI"))</f>
        <v/>
      </c>
      <c r="C7" s="6" t="str">
        <f>IF(_xlfn.COUNTIFS('Time Log'!$A$5:$A$45,$A7,'Time Log'!$B$5:$B$45,"AI")=0,"",_xlfn.SUMIFS('Time Log'!$E$5:$E$45,'Time Log'!$A$5:$A$45,$A7,'Time Log'!$B$5:$B$45,"AI"))</f>
        <v/>
      </c>
      <c r="D7" s="11" t="str">
        <f>IF(OR(B7="",C7=""),"",B7-C7)</f>
        <v/>
      </c>
      <c r="E7" s="12" t="str">
        <f>IF(OR(B7="",C7="",B7=0),"",D7/B7)</f>
        <v/>
      </c>
      <c r="F7" s="8"/>
      <c r="G7" s="8"/>
      <c r="H7" s="8"/>
    </row>
    <row r="8" spans="8:8" ht="15.0">
      <c r="A8" s="10" t="s">
        <v>22</v>
      </c>
      <c r="B8" s="6" t="str">
        <f>IF(_xlfn.COUNTIFS('Time Log'!$A$5:$A$45,$A8,'Time Log'!$B$5:$B$45,"No AI")=0,"",_xlfn.SUMIFS('Time Log'!$E$5:$E$45,'Time Log'!$A$5:$A$45,$A8,'Time Log'!$B$5:$B$45,"No AI"))</f>
        <v/>
      </c>
      <c r="C8" s="6" t="str">
        <f>IF(_xlfn.COUNTIFS('Time Log'!$A$5:$A$45,$A8,'Time Log'!$B$5:$B$45,"AI")=0,"",_xlfn.SUMIFS('Time Log'!$E$5:$E$45,'Time Log'!$A$5:$A$45,$A8,'Time Log'!$B$5:$B$45,"AI"))</f>
        <v/>
      </c>
      <c r="D8" s="11" t="str">
        <f>IF(OR(B8="",C8=""),"",B8-C8)</f>
        <v/>
      </c>
      <c r="E8" s="12" t="str">
        <f>IF(OR(B8="",C8="",B8=0),"",D8/B8)</f>
        <v/>
      </c>
      <c r="F8" s="8"/>
      <c r="G8" s="8"/>
      <c r="H8" s="8"/>
    </row>
    <row r="9" spans="8:8" ht="15.0">
      <c r="A9" s="10" t="s">
        <v>23</v>
      </c>
      <c r="B9" s="6" t="str">
        <f>IF(_xlfn.COUNTIFS('Time Log'!$A$5:$A$45,$A9,'Time Log'!$B$5:$B$45,"No AI")=0,"",_xlfn.SUMIFS('Time Log'!$E$5:$E$45,'Time Log'!$A$5:$A$45,$A9,'Time Log'!$B$5:$B$45,"No AI"))</f>
        <v/>
      </c>
      <c r="C9" s="6" t="str">
        <f>IF(_xlfn.COUNTIFS('Time Log'!$A$5:$A$45,$A9,'Time Log'!$B$5:$B$45,"AI")=0,"",_xlfn.SUMIFS('Time Log'!$E$5:$E$45,'Time Log'!$A$5:$A$45,$A9,'Time Log'!$B$5:$B$45,"AI"))</f>
        <v/>
      </c>
      <c r="D9" s="11" t="str">
        <f>IF(OR(B9="",C9=""),"",B9-C9)</f>
        <v/>
      </c>
      <c r="E9" s="12" t="str">
        <f>IF(OR(B9="",C9="",B9=0),"",D9/B9)</f>
        <v/>
      </c>
      <c r="F9" s="8"/>
      <c r="G9" s="8"/>
      <c r="H9" s="8"/>
    </row>
    <row r="10" spans="8:8" ht="15.0">
      <c r="A10" s="10" t="s">
        <v>24</v>
      </c>
      <c r="B10" s="6" t="str">
        <f>IF(_xlfn.COUNTIFS('Time Log'!$A$5:$A$45,$A10,'Time Log'!$B$5:$B$45,"No AI")=0,"",_xlfn.SUMIFS('Time Log'!$E$5:$E$45,'Time Log'!$A$5:$A$45,$A10,'Time Log'!$B$5:$B$45,"No AI"))</f>
        <v/>
      </c>
      <c r="C10" s="6" t="str">
        <f>IF(_xlfn.COUNTIFS('Time Log'!$A$5:$A$45,$A10,'Time Log'!$B$5:$B$45,"AI")=0,"",_xlfn.SUMIFS('Time Log'!$E$5:$E$45,'Time Log'!$A$5:$A$45,$A10,'Time Log'!$B$5:$B$45,"AI"))</f>
        <v/>
      </c>
      <c r="D10" s="11" t="str">
        <f>IF(OR(B10="",C10=""),"",B10-C10)</f>
        <v/>
      </c>
      <c r="E10" s="12" t="str">
        <f>IF(OR(B10="",C10="",B10=0),"",D10/B10)</f>
        <v/>
      </c>
      <c r="F10" s="8"/>
      <c r="G10" s="8"/>
      <c r="H10" s="8"/>
    </row>
    <row r="11" spans="8:8" ht="15.0">
      <c r="A11" s="10" t="s">
        <v>25</v>
      </c>
      <c r="B11" s="6" t="str">
        <f>IF(_xlfn.COUNTIFS('Time Log'!$A$5:$A$45,$A11,'Time Log'!$B$5:$B$45,"No AI")=0,"",_xlfn.SUMIFS('Time Log'!$E$5:$E$45,'Time Log'!$A$5:$A$45,$A11,'Time Log'!$B$5:$B$45,"No AI"))</f>
        <v/>
      </c>
      <c r="C11" s="6" t="str">
        <f>IF(_xlfn.COUNTIFS('Time Log'!$A$5:$A$45,$A11,'Time Log'!$B$5:$B$45,"AI")=0,"",_xlfn.SUMIFS('Time Log'!$E$5:$E$45,'Time Log'!$A$5:$A$45,$A11,'Time Log'!$B$5:$B$45,"AI"))</f>
        <v/>
      </c>
      <c r="D11" s="11" t="str">
        <f>IF(OR(B11="",C11=""),"",B11-C11)</f>
        <v/>
      </c>
      <c r="E11" s="12" t="str">
        <f>IF(OR(B11="",C11="",B11=0),"",D11/B11)</f>
        <v/>
      </c>
      <c r="F11" s="8"/>
      <c r="G11" s="8"/>
      <c r="H11" s="8"/>
    </row>
    <row r="12" spans="8:8" ht="15.0">
      <c r="A12" s="13" t="s">
        <v>26</v>
      </c>
      <c r="B12" s="14">
        <f>SUMPRODUCT(--ISNUMBER(B5:B11),--ISNUMBER(C5:C11),B5:B11)</f>
        <v>0.0</v>
      </c>
      <c r="C12" s="14">
        <f>SUMPRODUCT(--ISNUMBER(B5:B11),--ISNUMBER(C5:C11),C5:C11)</f>
        <v>0.0</v>
      </c>
      <c r="D12" s="15">
        <f>B12-C12</f>
        <v>0.0</v>
      </c>
      <c r="E12" s="16" t="str">
        <f>IF(B12=0,"",D12/B12)</f>
        <v/>
      </c>
      <c r="F12" s="17"/>
      <c r="G12" s="17"/>
      <c r="H12" s="17"/>
    </row>
    <row r="14" spans="8:8" ht="15.0">
      <c r="A14" s="18" t="s">
        <v>27</v>
      </c>
    </row>
    <row r="15" spans="8:8" ht="15.0">
      <c r="A15" s="3" t="s">
        <v>28</v>
      </c>
      <c r="B15" s="3" t="s">
        <v>29</v>
      </c>
    </row>
    <row r="16" spans="8:8" ht="15.0">
      <c r="A16" s="4" t="s">
        <v>30</v>
      </c>
      <c r="B16" s="11">
        <f>D12</f>
        <v>0.0</v>
      </c>
    </row>
    <row r="17" spans="8:8" ht="15.0">
      <c r="A17" s="4" t="s">
        <v>31</v>
      </c>
      <c r="B17" s="6">
        <f>_xlfn.SUMIFS('Time Log'!$E$5:$E$45,'Time Log'!$A$5:$A$45,"Verification of AI output",'Time Log'!$B$5:$B$45,"AI")</f>
        <v>0.0</v>
      </c>
    </row>
    <row r="18" spans="8:8" ht="15.0">
      <c r="A18" s="13" t="s">
        <v>32</v>
      </c>
      <c r="B18" s="15">
        <f>B16-B17</f>
        <v>0.0</v>
      </c>
    </row>
    <row r="19" spans="8:8" ht="15.0">
      <c r="A19" s="13" t="s">
        <v>33</v>
      </c>
      <c r="B19" s="16" t="str">
        <f>IF(B12=0,"",B18/B12)</f>
        <v/>
      </c>
    </row>
    <row r="21" spans="8:8" ht="15.0">
      <c r="A21" s="18" t="s">
        <v>34</v>
      </c>
    </row>
    <row r="22" spans="8:8" ht="15.0">
      <c r="A22" s="19" t="s">
        <v>35</v>
      </c>
    </row>
    <row r="23" spans="8:8" ht="15.0">
      <c r="A23" s="19" t="s">
        <v>36</v>
      </c>
    </row>
    <row r="24" spans="8:8" ht="15.0">
      <c r="A24" s="19" t="s">
        <v>37</v>
      </c>
    </row>
    <row r="25" spans="8:8" ht="15.0">
      <c r="A25" s="19" t="s">
        <v>38</v>
      </c>
    </row>
    <row r="26" spans="8:8" ht="15.0">
      <c r="A26" s="19" t="s">
        <v>39</v>
      </c>
    </row>
  </sheetData>
  <pageMargins left="0.75" right="0.75" top="1.0" bottom="1.0" header="0.511811023622047" footer="0.511811023622047"/>
  <pageSetup paperSize="9"/>
</worksheet>
</file>

<file path=docProps/app.xml><?xml version="1.0" encoding="utf-8"?>
<Properties xmlns="http://schemas.openxmlformats.org/officeDocument/2006/extended-properties">
  <Application>Kingsoft Office</Application>
  <ScaleCrop>0</ScaleCrop>
  <LinksUpToDate>0</LinksUpToDate>
  <AppVersion>15.0000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2026-10-24T13:36:16Z</dcterms:created>
  <dcterms:modified xsi:type="dcterms:W3CDTF">2026-10-24T19:26:39Z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f83fff6f762b41d298a0bcd549392597_23</vt:lpwstr>
  </property>
</Properties>
</file>