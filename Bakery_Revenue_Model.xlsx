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oducts" sheetId="2" state="visible" r:id="rId4"/>
    <sheet name="Monthly Projection" sheetId="3" state="visible" r:id="rId5"/>
    <sheet name="Break-even and Startu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<sst xmlns="http://schemas.openxmlformats.org/spreadsheetml/2006/main" count="136" uniqueCount="111">
  <si>
    <t xml:space="preserve">Crumb &amp; Co (home bakery, Chennai): Revenue Model Assumptions</t>
  </si>
  <si>
    <t xml:space="preserve">Legend: blue text = input you can edit. Yellow fill = my own addition or choice, not in your Financial Outline doc; verify it. Black = formula. Green = link to another tab.</t>
  </si>
  <si>
    <t xml:space="preserve">Item</t>
  </si>
  <si>
    <t xml:space="preserve">Value</t>
  </si>
  <si>
    <t xml:space="preserve">Source / status</t>
  </si>
  <si>
    <t xml:space="preserve">Weeks per month</t>
  </si>
  <si>
    <t xml:space="preserve">Financial Outline, section 5</t>
  </si>
  <si>
    <t xml:space="preserve">Wastage and discounts (% of revenue)</t>
  </si>
  <si>
    <t xml:space="preserve">Financial Outline: 8% assumption, needs verification</t>
  </si>
  <si>
    <t xml:space="preserve">Delivery cost per order (₹)</t>
  </si>
  <si>
    <t xml:space="preserve">Outline leaves it out (customer pays). Enter a value to test the effect</t>
  </si>
  <si>
    <t xml:space="preserve">Payment / platform fee (% of revenue)</t>
  </si>
  <si>
    <t xml:space="preserve">Outline assumes UPI is free. Enter a value to test the effect</t>
  </si>
  <si>
    <t xml:space="preserve">Count ongoing marketing in monthly costs? (1 = yes, 0 = no)</t>
  </si>
  <si>
    <t xml:space="preserve">Outline's 6-month table leaves it out (1,500/month); its break-even table includes it. 1 is the cautious choice</t>
  </si>
  <si>
    <t xml:space="preserve">Monthly fixed costs (steady state)</t>
  </si>
  <si>
    <t xml:space="preserve">Amount (₹/month)</t>
  </si>
  <si>
    <t xml:space="preserve">Extra electricity and gas</t>
  </si>
  <si>
    <t xml:space="preserve">Financial Outline, section 2 (assumption, needs verification)</t>
  </si>
  <si>
    <t xml:space="preserve">Ongoing marketing (ads, referral rewards, content)</t>
  </si>
  <si>
    <t xml:space="preserve">Phone, internet and apps</t>
  </si>
  <si>
    <t xml:space="preserve">Equipment upkeep and replacement fund</t>
  </si>
  <si>
    <t xml:space="preserve">Cleaning and hygiene supplies</t>
  </si>
  <si>
    <t xml:space="preserve">FSSAI fee, insurance and miscellaneous</t>
  </si>
  <si>
    <t xml:space="preserve">Total monthly fixed costs (before owner's pay)</t>
  </si>
  <si>
    <t xml:space="preserve">Formula. Equals ₹5,800 when marketing is counted, ₹4,300 when not</t>
  </si>
  <si>
    <t xml:space="preserve">Owner's pay (₹/month)</t>
  </si>
  <si>
    <t xml:space="preserve">Outline scenario of ₹15,000. Try 0 or 25,000</t>
  </si>
  <si>
    <t xml:space="preserve">Order ramp (orders per week)</t>
  </si>
  <si>
    <t xml:space="preserve">Month</t>
  </si>
  <si>
    <t xml:space="preserve">Orders per week</t>
  </si>
  <si>
    <t xml:space="preserve">Financial Outline ramp-up (midpoints of Marketing targets)</t>
  </si>
  <si>
    <t xml:space="preserve">My extension: holds at the plan's 30-a-week steady state</t>
  </si>
  <si>
    <t xml:space="preserve">Products and Unit Economics (₹)</t>
  </si>
  <si>
    <t xml:space="preserve">Prices, costs and order mix are from your Financial Outline (assumptions, unverified). Blue = input.</t>
  </si>
  <si>
    <t xml:space="preserve">Product</t>
  </si>
  <si>
    <t xml:space="preserve">Selling price</t>
  </si>
  <si>
    <t xml:space="preserve">Ingredients</t>
  </si>
  <si>
    <t xml:space="preserve">Packaging</t>
  </si>
  <si>
    <t xml:space="preserve">Total variable cost</t>
  </si>
  <si>
    <t xml:space="preserve">Cost as % of price</t>
  </si>
  <si>
    <t xml:space="preserve">Contribution per unit</t>
  </si>
  <si>
    <t xml:space="preserve">Contribution %</t>
  </si>
  <si>
    <t xml:space="preserve">Orders per week (steady state)</t>
  </si>
  <si>
    <t xml:space="preserve">Share of orders</t>
  </si>
  <si>
    <t xml:space="preserve">Weekly revenue</t>
  </si>
  <si>
    <t xml:space="preserve">Weekly contribution (before wastage)</t>
  </si>
  <si>
    <t xml:space="preserve">Eggless cake, ½ kg</t>
  </si>
  <si>
    <t xml:space="preserve">Eggless cake, 1 kg</t>
  </si>
  <si>
    <t xml:space="preserve">Brownie box (6)</t>
  </si>
  <si>
    <t xml:space="preserve">Cookie box (10)</t>
  </si>
  <si>
    <t xml:space="preserve">Gift hamper</t>
  </si>
  <si>
    <t xml:space="preserve">Total</t>
  </si>
  <si>
    <t xml:space="preserve">Per-order summary (weighted by order mix)</t>
  </si>
  <si>
    <t xml:space="preserve">Measure</t>
  </si>
  <si>
    <t xml:space="preserve">Value (₹)</t>
  </si>
  <si>
    <t xml:space="preserve">Average order value</t>
  </si>
  <si>
    <t xml:space="preserve">Ingredients and packaging per order</t>
  </si>
  <si>
    <t xml:space="preserve">Wastage and discounts per order</t>
  </si>
  <si>
    <t xml:space="preserve">Delivery cost per order</t>
  </si>
  <si>
    <t xml:space="preserve">Payment / platform fees per order</t>
  </si>
  <si>
    <t xml:space="preserve">Total variable cost per order</t>
  </si>
  <si>
    <t xml:space="preserve">Contribution per order</t>
  </si>
  <si>
    <t xml:space="preserve">Check: your outline shows ₹667 average order value, ₹255 ingredients and packaging, ₹53 wastage and ₹359 contribution per order.</t>
  </si>
  <si>
    <t xml:space="preserve">12-Month Projection (₹)</t>
  </si>
  <si>
    <t xml:space="preserve">All cells are formulas driven by Assumptions and Products. Months 1 to 6 follow the Financial Outline ramp.</t>
  </si>
  <si>
    <t xml:space="preserve">Orders in month</t>
  </si>
  <si>
    <t xml:space="preserve">Revenue</t>
  </si>
  <si>
    <t xml:space="preserve">Ingredients and packaging</t>
  </si>
  <si>
    <t xml:space="preserve">Wastage, delivery and fees</t>
  </si>
  <si>
    <t xml:space="preserve">Fixed costs</t>
  </si>
  <si>
    <t xml:space="preserve">Owner's pay</t>
  </si>
  <si>
    <t xml:space="preserve">Total costs</t>
  </si>
  <si>
    <t xml:space="preserve">Surplus before owner's pay</t>
  </si>
  <si>
    <t xml:space="preserve">Surplus after owner's pay</t>
  </si>
  <si>
    <t xml:space="preserve">Cumulative surplus (after pay)</t>
  </si>
  <si>
    <t xml:space="preserve">Cash position vs startup cost</t>
  </si>
  <si>
    <t xml:space="preserve">Paid back? (1 = yes)</t>
  </si>
  <si>
    <t xml:space="preserve">Tie-out with your Financial Outline (months 1 to 6, surplus before owner's pay)</t>
  </si>
  <si>
    <t xml:space="preserve">Model, with marketing added back as the outline does</t>
  </si>
  <si>
    <t xml:space="preserve">Outline's stated total</t>
  </si>
  <si>
    <t xml:space="preserve">Difference (the outline rounds to the nearest ₹100)</t>
  </si>
  <si>
    <t xml:space="preserve">Startup Costs and Break-even</t>
  </si>
  <si>
    <t xml:space="preserve">Startup costs are from your Financial Outline (assumptions). Opening stock and cash reserve are not all spent upfront but count as capital needed.</t>
  </si>
  <si>
    <t xml:space="preserve">Startup item</t>
  </si>
  <si>
    <t xml:space="preserve">Amount (₹)</t>
  </si>
  <si>
    <t xml:space="preserve">Share</t>
  </si>
  <si>
    <t xml:space="preserve">Equipment</t>
  </si>
  <si>
    <t xml:space="preserve">Licensing and packaging</t>
  </si>
  <si>
    <t xml:space="preserve">Opening ingredient stock</t>
  </si>
  <si>
    <t xml:space="preserve">Marketing and photography</t>
  </si>
  <si>
    <t xml:space="preserve">Cash reserve</t>
  </si>
  <si>
    <t xml:space="preserve">Total startup cost</t>
  </si>
  <si>
    <t xml:space="preserve">Break-even by owner's pay scenario</t>
  </si>
  <si>
    <t xml:space="preserve">Scenario</t>
  </si>
  <si>
    <t xml:space="preserve">Fixed costs plus owner's pay (₹)</t>
  </si>
  <si>
    <t xml:space="preserve">Break-even orders per month</t>
  </si>
  <si>
    <t xml:space="preserve">Break-even orders per week</t>
  </si>
  <si>
    <t xml:space="preserve">Break-even monthly revenue (₹)</t>
  </si>
  <si>
    <t xml:space="preserve">No owner's pay</t>
  </si>
  <si>
    <t xml:space="preserve">Owner's pay ₹15,000</t>
  </si>
  <si>
    <t xml:space="preserve">Owner's pay ₹25,000</t>
  </si>
  <si>
    <t xml:space="preserve">Summary</t>
  </si>
  <si>
    <t xml:space="preserve">Contribution per order (₹)</t>
  </si>
  <si>
    <t xml:space="preserve">Payback month for startup cost (after owner's pay)</t>
  </si>
  <si>
    <t xml:space="preserve">Steady-state monthly surplus before owner's pay (₹)</t>
  </si>
  <si>
    <t xml:space="preserve">Steady-state monthly surplus after owner's pay (₹)</t>
  </si>
  <si>
    <t xml:space="preserve">Sensitivity at steady state (monthly surplus)</t>
  </si>
  <si>
    <t xml:space="preserve">Before owner's pay (₹)</t>
  </si>
  <si>
    <t xml:space="preserve">After owner's pay (₹)</t>
  </si>
  <si>
    <t xml:space="preserve">Taxes (GST, income tax) are not modelled, as in the outline.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</si>
</sst>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;\(0.0%\);\-"/>
    <numFmt numFmtId="167" formatCode="\₹#,##0;&quot;(₹&quot;#,##0\);\-"/>
    <numFmt numFmtId="168" formatCode="0"/>
    <numFmt numFmtId="169" formatCode="#,##0.0;\(#,##0.0\);\-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Total Costs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Projection'!D4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Projection'!$A$5:$A$16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Projection'!$D$5:$D$16</c:f>
              <c:numCache>
                <c:formatCode>\₹#,##0;"(₹"#,##0\);\-</c:formatCode>
                <c:ptCount val="12"/>
                <c:pt idx="0">
                  <c:v>26005.98</c:v>
                </c:pt>
                <c:pt idx="1">
                  <c:v>40453.7466666667</c:v>
                </c:pt>
                <c:pt idx="2">
                  <c:v>52011.96</c:v>
                </c:pt>
                <c:pt idx="3">
                  <c:v>57791.0666666667</c:v>
                </c:pt>
                <c:pt idx="4">
                  <c:v>66459.7266666667</c:v>
                </c:pt>
                <c:pt idx="5">
                  <c:v>80907.4933333334</c:v>
                </c:pt>
                <c:pt idx="6">
                  <c:v>86686.6</c:v>
                </c:pt>
                <c:pt idx="7">
                  <c:v>86686.6</c:v>
                </c:pt>
                <c:pt idx="8">
                  <c:v>86686.6</c:v>
                </c:pt>
                <c:pt idx="9">
                  <c:v>86686.6</c:v>
                </c:pt>
                <c:pt idx="10">
                  <c:v>86686.6</c:v>
                </c:pt>
                <c:pt idx="11">
                  <c:v>86686.6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Projection'!I4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Projection'!$A$5:$A$16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Projection'!$I$5:$I$16</c:f>
              <c:numCache>
                <c:formatCode>\₹#,##0;"(₹"#,##0\);\-</c:formatCode>
                <c:ptCount val="12"/>
                <c:pt idx="0">
                  <c:v>32811.3334</c:v>
                </c:pt>
                <c:pt idx="1">
                  <c:v>39484.2964</c:v>
                </c:pt>
                <c:pt idx="2">
                  <c:v>44822.6668</c:v>
                </c:pt>
                <c:pt idx="3">
                  <c:v>47491.852</c:v>
                </c:pt>
                <c:pt idx="4">
                  <c:v>51495.6298</c:v>
                </c:pt>
                <c:pt idx="5">
                  <c:v>58168.5928</c:v>
                </c:pt>
                <c:pt idx="6">
                  <c:v>60837.778</c:v>
                </c:pt>
                <c:pt idx="7">
                  <c:v>60837.778</c:v>
                </c:pt>
                <c:pt idx="8">
                  <c:v>60837.778</c:v>
                </c:pt>
                <c:pt idx="9">
                  <c:v>60837.778</c:v>
                </c:pt>
                <c:pt idx="10">
                  <c:v>60837.778</c:v>
                </c:pt>
                <c:pt idx="11">
                  <c:v>60837.778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748894"/>
        <c:axId val="67416643"/>
      </c:lineChart>
      <c:catAx>
        <c:axId val="29748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16643"/>
        <c:crosses val="autoZero"/>
        <c:auto val="1"/>
        <c:lblAlgn val="ctr"/>
        <c:lblOffset val="100"/>
        <c:noMultiLvlLbl val="0"/>
      </c:catAx>
      <c:valAx>
        <c:axId val="67416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48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6</xdr:col>
      <xdr:colOff>911160</xdr:colOff>
      <xdr:row>40</xdr:row>
      <xdr:rowOff>162000</xdr:rowOff>
    </xdr:to>
    <xdr:graphicFrame>
      <xdr:nvGraphicFramePr>
        <xdr:cNvPr id="0" name="Chart 1"/>
        <xdr:cNvGraphicFramePr/>
      </xdr:nvGraphicFramePr>
      <xdr:xfrm>
        <a:off x="0" y="5067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4.33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0.08</v>
      </c>
      <c r="C6" s="6" t="s">
        <v>8</v>
      </c>
    </row>
    <row r="7" customFormat="false" ht="15" hidden="false" customHeight="false" outlineLevel="0" collapsed="false">
      <c r="A7" s="4" t="s">
        <v>9</v>
      </c>
      <c r="B7" s="8" t="n">
        <v>0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v>0</v>
      </c>
      <c r="C8" s="6" t="s">
        <v>12</v>
      </c>
    </row>
    <row r="9" customFormat="false" ht="15" hidden="false" customHeight="false" outlineLevel="0" collapsed="false">
      <c r="A9" s="4" t="s">
        <v>13</v>
      </c>
      <c r="B9" s="9" t="n">
        <v>1</v>
      </c>
      <c r="C9" s="6" t="s">
        <v>14</v>
      </c>
    </row>
    <row r="11" customFormat="false" ht="15" hidden="false" customHeight="false" outlineLevel="0" collapsed="false">
      <c r="A11" s="10" t="s">
        <v>15</v>
      </c>
    </row>
    <row r="12" customFormat="false" ht="15" hidden="false" customHeight="false" outlineLevel="0" collapsed="false">
      <c r="A12" s="3" t="s">
        <v>2</v>
      </c>
      <c r="B12" s="3" t="s">
        <v>16</v>
      </c>
      <c r="C12" s="3" t="s">
        <v>4</v>
      </c>
    </row>
    <row r="13" customFormat="false" ht="15" hidden="false" customHeight="false" outlineLevel="0" collapsed="false">
      <c r="A13" s="4" t="s">
        <v>17</v>
      </c>
      <c r="B13" s="8" t="n">
        <v>2500</v>
      </c>
      <c r="C13" s="6" t="s">
        <v>18</v>
      </c>
    </row>
    <row r="14" customFormat="false" ht="15" hidden="false" customHeight="false" outlineLevel="0" collapsed="false">
      <c r="A14" s="4" t="s">
        <v>19</v>
      </c>
      <c r="B14" s="8" t="n">
        <v>1500</v>
      </c>
      <c r="C14" s="6" t="s">
        <v>18</v>
      </c>
    </row>
    <row r="15" customFormat="false" ht="15" hidden="false" customHeight="false" outlineLevel="0" collapsed="false">
      <c r="A15" s="4" t="s">
        <v>20</v>
      </c>
      <c r="B15" s="8" t="n">
        <v>500</v>
      </c>
      <c r="C15" s="6" t="s">
        <v>18</v>
      </c>
    </row>
    <row r="16" customFormat="false" ht="15" hidden="false" customHeight="false" outlineLevel="0" collapsed="false">
      <c r="A16" s="4" t="s">
        <v>21</v>
      </c>
      <c r="B16" s="8" t="n">
        <v>500</v>
      </c>
      <c r="C16" s="6" t="s">
        <v>18</v>
      </c>
    </row>
    <row r="17" customFormat="false" ht="15" hidden="false" customHeight="false" outlineLevel="0" collapsed="false">
      <c r="A17" s="4" t="s">
        <v>22</v>
      </c>
      <c r="B17" s="8" t="n">
        <v>500</v>
      </c>
      <c r="C17" s="6" t="s">
        <v>18</v>
      </c>
    </row>
    <row r="18" customFormat="false" ht="15" hidden="false" customHeight="false" outlineLevel="0" collapsed="false">
      <c r="A18" s="4" t="s">
        <v>23</v>
      </c>
      <c r="B18" s="8" t="n">
        <v>300</v>
      </c>
      <c r="C18" s="6" t="s">
        <v>18</v>
      </c>
    </row>
    <row r="19" customFormat="false" ht="15" hidden="false" customHeight="false" outlineLevel="0" collapsed="false">
      <c r="A19" s="11" t="s">
        <v>24</v>
      </c>
      <c r="B19" s="12" t="n">
        <f aca="false">B13+B14*B9+SUM(B15:B18)</f>
        <v>5800</v>
      </c>
      <c r="C19" s="6" t="s">
        <v>25</v>
      </c>
    </row>
    <row r="20" customFormat="false" ht="15" hidden="false" customHeight="false" outlineLevel="0" collapsed="false">
      <c r="A20" s="4" t="s">
        <v>26</v>
      </c>
      <c r="B20" s="8" t="n">
        <v>15000</v>
      </c>
      <c r="C20" s="6" t="s">
        <v>27</v>
      </c>
    </row>
    <row r="22" customFormat="false" ht="15" hidden="false" customHeight="false" outlineLevel="0" collapsed="false">
      <c r="A22" s="10" t="s">
        <v>28</v>
      </c>
    </row>
    <row r="23" customFormat="false" ht="15" hidden="false" customHeight="false" outlineLevel="0" collapsed="false">
      <c r="A23" s="3" t="s">
        <v>29</v>
      </c>
      <c r="B23" s="3" t="s">
        <v>30</v>
      </c>
      <c r="C23" s="3" t="s">
        <v>4</v>
      </c>
    </row>
    <row r="24" customFormat="false" ht="15" hidden="false" customHeight="false" outlineLevel="0" collapsed="false">
      <c r="A24" s="13" t="n">
        <v>1</v>
      </c>
      <c r="B24" s="14" t="n">
        <v>9</v>
      </c>
      <c r="C24" s="6" t="s">
        <v>31</v>
      </c>
    </row>
    <row r="25" customFormat="false" ht="15" hidden="false" customHeight="false" outlineLevel="0" collapsed="false">
      <c r="A25" s="13" t="n">
        <v>2</v>
      </c>
      <c r="B25" s="14" t="n">
        <v>14</v>
      </c>
      <c r="C25" s="6" t="s">
        <v>31</v>
      </c>
    </row>
    <row r="26" customFormat="false" ht="15" hidden="false" customHeight="false" outlineLevel="0" collapsed="false">
      <c r="A26" s="13" t="n">
        <v>3</v>
      </c>
      <c r="B26" s="14" t="n">
        <v>18</v>
      </c>
      <c r="C26" s="6" t="s">
        <v>31</v>
      </c>
    </row>
    <row r="27" customFormat="false" ht="15" hidden="false" customHeight="false" outlineLevel="0" collapsed="false">
      <c r="A27" s="13" t="n">
        <v>4</v>
      </c>
      <c r="B27" s="14" t="n">
        <v>20</v>
      </c>
      <c r="C27" s="6" t="s">
        <v>31</v>
      </c>
    </row>
    <row r="28" customFormat="false" ht="15" hidden="false" customHeight="false" outlineLevel="0" collapsed="false">
      <c r="A28" s="13" t="n">
        <v>5</v>
      </c>
      <c r="B28" s="14" t="n">
        <v>23</v>
      </c>
      <c r="C28" s="6" t="s">
        <v>31</v>
      </c>
    </row>
    <row r="29" customFormat="false" ht="15" hidden="false" customHeight="false" outlineLevel="0" collapsed="false">
      <c r="A29" s="13" t="n">
        <v>6</v>
      </c>
      <c r="B29" s="14" t="n">
        <v>28</v>
      </c>
      <c r="C29" s="6" t="s">
        <v>31</v>
      </c>
    </row>
    <row r="30" customFormat="false" ht="15" hidden="false" customHeight="false" outlineLevel="0" collapsed="false">
      <c r="A30" s="13" t="n">
        <v>7</v>
      </c>
      <c r="B30" s="9" t="n">
        <v>30</v>
      </c>
      <c r="C30" s="6" t="s">
        <v>32</v>
      </c>
    </row>
    <row r="31" customFormat="false" ht="15" hidden="false" customHeight="false" outlineLevel="0" collapsed="false">
      <c r="A31" s="13" t="n">
        <v>8</v>
      </c>
      <c r="B31" s="9" t="n">
        <v>30</v>
      </c>
      <c r="C31" s="6" t="s">
        <v>32</v>
      </c>
    </row>
    <row r="32" customFormat="false" ht="15" hidden="false" customHeight="false" outlineLevel="0" collapsed="false">
      <c r="A32" s="13" t="n">
        <v>9</v>
      </c>
      <c r="B32" s="9" t="n">
        <v>30</v>
      </c>
      <c r="C32" s="6" t="s">
        <v>32</v>
      </c>
    </row>
    <row r="33" customFormat="false" ht="15" hidden="false" customHeight="false" outlineLevel="0" collapsed="false">
      <c r="A33" s="13" t="n">
        <v>10</v>
      </c>
      <c r="B33" s="9" t="n">
        <v>30</v>
      </c>
      <c r="C33" s="6" t="s">
        <v>32</v>
      </c>
    </row>
    <row r="34" customFormat="false" ht="15" hidden="false" customHeight="false" outlineLevel="0" collapsed="false">
      <c r="A34" s="13" t="n">
        <v>11</v>
      </c>
      <c r="B34" s="9" t="n">
        <v>30</v>
      </c>
      <c r="C34" s="6" t="s">
        <v>32</v>
      </c>
    </row>
    <row r="35" customFormat="false" ht="15" hidden="false" customHeight="false" outlineLevel="0" collapsed="false">
      <c r="A35" s="13" t="n">
        <v>12</v>
      </c>
      <c r="B35" s="9" t="n">
        <v>30</v>
      </c>
      <c r="C35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54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</row>
    <row r="5" customFormat="false" ht="15" hidden="false" customHeight="false" outlineLevel="0" collapsed="false">
      <c r="A5" s="4" t="s">
        <v>47</v>
      </c>
      <c r="B5" s="8" t="n">
        <v>750</v>
      </c>
      <c r="C5" s="8" t="n">
        <v>230</v>
      </c>
      <c r="D5" s="8" t="n">
        <v>60</v>
      </c>
      <c r="E5" s="15" t="n">
        <f aca="false">C5+D5</f>
        <v>290</v>
      </c>
      <c r="F5" s="16" t="n">
        <f aca="false">IF(B5=0,0,E5/B5)</f>
        <v>0.386666666666667</v>
      </c>
      <c r="G5" s="15" t="n">
        <f aca="false">B5-E5</f>
        <v>460</v>
      </c>
      <c r="H5" s="16" t="n">
        <f aca="false">IF(B5=0,0,G5/B5)</f>
        <v>0.613333333333333</v>
      </c>
      <c r="I5" s="14" t="n">
        <v>8</v>
      </c>
      <c r="J5" s="16" t="n">
        <f aca="false">IF($I$10=0,0,I5/$I$10)</f>
        <v>0.266666666666667</v>
      </c>
      <c r="K5" s="15" t="n">
        <f aca="false">B5*I5</f>
        <v>6000</v>
      </c>
      <c r="L5" s="15" t="n">
        <f aca="false">G5*I5</f>
        <v>3680</v>
      </c>
    </row>
    <row r="6" customFormat="false" ht="15" hidden="false" customHeight="false" outlineLevel="0" collapsed="false">
      <c r="A6" s="4" t="s">
        <v>48</v>
      </c>
      <c r="B6" s="8" t="n">
        <v>1400</v>
      </c>
      <c r="C6" s="8" t="n">
        <v>430</v>
      </c>
      <c r="D6" s="8" t="n">
        <v>90</v>
      </c>
      <c r="E6" s="15" t="n">
        <f aca="false">C6+D6</f>
        <v>520</v>
      </c>
      <c r="F6" s="16" t="n">
        <f aca="false">IF(B6=0,0,E6/B6)</f>
        <v>0.371428571428571</v>
      </c>
      <c r="G6" s="15" t="n">
        <f aca="false">B6-E6</f>
        <v>880</v>
      </c>
      <c r="H6" s="16" t="n">
        <f aca="false">IF(B6=0,0,G6/B6)</f>
        <v>0.628571428571429</v>
      </c>
      <c r="I6" s="14" t="n">
        <v>3</v>
      </c>
      <c r="J6" s="16" t="n">
        <f aca="false">IF($I$10=0,0,I6/$I$10)</f>
        <v>0.1</v>
      </c>
      <c r="K6" s="15" t="n">
        <f aca="false">B6*I6</f>
        <v>4200</v>
      </c>
      <c r="L6" s="15" t="n">
        <f aca="false">G6*I6</f>
        <v>2640</v>
      </c>
    </row>
    <row r="7" customFormat="false" ht="15" hidden="false" customHeight="false" outlineLevel="0" collapsed="false">
      <c r="A7" s="4" t="s">
        <v>49</v>
      </c>
      <c r="B7" s="8" t="n">
        <v>480</v>
      </c>
      <c r="C7" s="8" t="n">
        <v>150</v>
      </c>
      <c r="D7" s="8" t="n">
        <v>35</v>
      </c>
      <c r="E7" s="15" t="n">
        <f aca="false">C7+D7</f>
        <v>185</v>
      </c>
      <c r="F7" s="16" t="n">
        <f aca="false">IF(B7=0,0,E7/B7)</f>
        <v>0.385416666666667</v>
      </c>
      <c r="G7" s="15" t="n">
        <f aca="false">B7-E7</f>
        <v>295</v>
      </c>
      <c r="H7" s="16" t="n">
        <f aca="false">IF(B7=0,0,G7/B7)</f>
        <v>0.614583333333333</v>
      </c>
      <c r="I7" s="14" t="n">
        <v>9</v>
      </c>
      <c r="J7" s="16" t="n">
        <f aca="false">IF($I$10=0,0,I7/$I$10)</f>
        <v>0.3</v>
      </c>
      <c r="K7" s="15" t="n">
        <f aca="false">B7*I7</f>
        <v>4320</v>
      </c>
      <c r="L7" s="15" t="n">
        <f aca="false">G7*I7</f>
        <v>2655</v>
      </c>
    </row>
    <row r="8" customFormat="false" ht="15" hidden="false" customHeight="false" outlineLevel="0" collapsed="false">
      <c r="A8" s="4" t="s">
        <v>50</v>
      </c>
      <c r="B8" s="8" t="n">
        <v>400</v>
      </c>
      <c r="C8" s="8" t="n">
        <v>120</v>
      </c>
      <c r="D8" s="8" t="n">
        <v>30</v>
      </c>
      <c r="E8" s="15" t="n">
        <f aca="false">C8+D8</f>
        <v>150</v>
      </c>
      <c r="F8" s="16" t="n">
        <f aca="false">IF(B8=0,0,E8/B8)</f>
        <v>0.375</v>
      </c>
      <c r="G8" s="15" t="n">
        <f aca="false">B8-E8</f>
        <v>250</v>
      </c>
      <c r="H8" s="16" t="n">
        <f aca="false">IF(B8=0,0,G8/B8)</f>
        <v>0.625</v>
      </c>
      <c r="I8" s="14" t="n">
        <v>7</v>
      </c>
      <c r="J8" s="16" t="n">
        <f aca="false">IF($I$10=0,0,I8/$I$10)</f>
        <v>0.233333333333333</v>
      </c>
      <c r="K8" s="15" t="n">
        <f aca="false">B8*I8</f>
        <v>2800</v>
      </c>
      <c r="L8" s="15" t="n">
        <f aca="false">G8*I8</f>
        <v>1750</v>
      </c>
    </row>
    <row r="9" customFormat="false" ht="15" hidden="false" customHeight="false" outlineLevel="0" collapsed="false">
      <c r="A9" s="4" t="s">
        <v>51</v>
      </c>
      <c r="B9" s="8" t="n">
        <v>900</v>
      </c>
      <c r="C9" s="8" t="n">
        <v>270</v>
      </c>
      <c r="D9" s="8" t="n">
        <v>80</v>
      </c>
      <c r="E9" s="15" t="n">
        <f aca="false">C9+D9</f>
        <v>350</v>
      </c>
      <c r="F9" s="16" t="n">
        <f aca="false">IF(B9=0,0,E9/B9)</f>
        <v>0.388888888888889</v>
      </c>
      <c r="G9" s="15" t="n">
        <f aca="false">B9-E9</f>
        <v>550</v>
      </c>
      <c r="H9" s="16" t="n">
        <f aca="false">IF(B9=0,0,G9/B9)</f>
        <v>0.611111111111111</v>
      </c>
      <c r="I9" s="14" t="n">
        <v>3</v>
      </c>
      <c r="J9" s="16" t="n">
        <f aca="false">IF($I$10=0,0,I9/$I$10)</f>
        <v>0.1</v>
      </c>
      <c r="K9" s="15" t="n">
        <f aca="false">B9*I9</f>
        <v>2700</v>
      </c>
      <c r="L9" s="15" t="n">
        <f aca="false">G9*I9</f>
        <v>1650</v>
      </c>
    </row>
    <row r="10" customFormat="false" ht="15" hidden="false" customHeight="false" outlineLevel="0" collapsed="false">
      <c r="A10" s="11" t="s">
        <v>52</v>
      </c>
      <c r="B10" s="4"/>
      <c r="C10" s="4"/>
      <c r="D10" s="4"/>
      <c r="E10" s="4"/>
      <c r="F10" s="4"/>
      <c r="G10" s="4"/>
      <c r="H10" s="4"/>
      <c r="I10" s="17" t="n">
        <f aca="false">SUM(I5:I9)</f>
        <v>30</v>
      </c>
      <c r="J10" s="18" t="n">
        <f aca="false">SUM(J5:J9)</f>
        <v>1</v>
      </c>
      <c r="K10" s="12" t="n">
        <f aca="false">SUM(K5:K9)</f>
        <v>20020</v>
      </c>
      <c r="L10" s="12" t="n">
        <f aca="false">SUM(L5:L9)</f>
        <v>12375</v>
      </c>
    </row>
    <row r="12" customFormat="false" ht="15" hidden="false" customHeight="false" outlineLevel="0" collapsed="false">
      <c r="A12" s="10" t="s">
        <v>53</v>
      </c>
    </row>
    <row r="13" customFormat="false" ht="15" hidden="false" customHeight="false" outlineLevel="0" collapsed="false">
      <c r="A13" s="3" t="s">
        <v>54</v>
      </c>
      <c r="B13" s="3" t="s">
        <v>55</v>
      </c>
    </row>
    <row r="14" customFormat="false" ht="15" hidden="false" customHeight="false" outlineLevel="0" collapsed="false">
      <c r="A14" s="11" t="s">
        <v>56</v>
      </c>
      <c r="B14" s="12" t="n">
        <f aca="false">SUMPRODUCT(B5:B9,J5:J9)</f>
        <v>667.333333333333</v>
      </c>
    </row>
    <row r="15" customFormat="false" ht="15" hidden="false" customHeight="false" outlineLevel="0" collapsed="false">
      <c r="A15" s="4" t="s">
        <v>57</v>
      </c>
      <c r="B15" s="15" t="n">
        <f aca="false">SUMPRODUCT(E5:E9,J5:J9)</f>
        <v>254.833333333333</v>
      </c>
    </row>
    <row r="16" customFormat="false" ht="15" hidden="false" customHeight="false" outlineLevel="0" collapsed="false">
      <c r="A16" s="4" t="s">
        <v>58</v>
      </c>
      <c r="B16" s="19" t="n">
        <f aca="false">B14*Assumptions!B6</f>
        <v>53.3866666666667</v>
      </c>
    </row>
    <row r="17" customFormat="false" ht="15" hidden="false" customHeight="false" outlineLevel="0" collapsed="false">
      <c r="A17" s="4" t="s">
        <v>59</v>
      </c>
      <c r="B17" s="19" t="n">
        <f aca="false">Assumptions!B7</f>
        <v>0</v>
      </c>
    </row>
    <row r="18" customFormat="false" ht="15" hidden="false" customHeight="false" outlineLevel="0" collapsed="false">
      <c r="A18" s="4" t="s">
        <v>60</v>
      </c>
      <c r="B18" s="19" t="n">
        <f aca="false">B14*Assumptions!B8</f>
        <v>0</v>
      </c>
    </row>
    <row r="19" customFormat="false" ht="15" hidden="false" customHeight="false" outlineLevel="0" collapsed="false">
      <c r="A19" s="4" t="s">
        <v>61</v>
      </c>
      <c r="B19" s="15" t="n">
        <f aca="false">SUM(B15:B18)</f>
        <v>308.22</v>
      </c>
    </row>
    <row r="20" customFormat="false" ht="15" hidden="false" customHeight="false" outlineLevel="0" collapsed="false">
      <c r="A20" s="11" t="s">
        <v>62</v>
      </c>
      <c r="B20" s="12" t="n">
        <f aca="false">B14-B19</f>
        <v>359.113333333333</v>
      </c>
    </row>
    <row r="22" customFormat="false" ht="15" hidden="false" customHeight="false" outlineLevel="0" collapsed="false">
      <c r="A22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54" hidden="false" customHeight="true" outlineLevel="0" collapsed="false">
      <c r="A4" s="3" t="s">
        <v>29</v>
      </c>
      <c r="B4" s="3" t="s">
        <v>30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3" t="s">
        <v>76</v>
      </c>
      <c r="N4" s="3" t="s">
        <v>77</v>
      </c>
    </row>
    <row r="5" customFormat="false" ht="15" hidden="false" customHeight="false" outlineLevel="0" collapsed="false">
      <c r="A5" s="13" t="n">
        <v>1</v>
      </c>
      <c r="B5" s="20" t="n">
        <f aca="false">Assumptions!B24</f>
        <v>9</v>
      </c>
      <c r="C5" s="20" t="n">
        <f aca="false">B5*Assumptions!$B$5</f>
        <v>38.97</v>
      </c>
      <c r="D5" s="19" t="n">
        <f aca="false">C5*Products!$B$14</f>
        <v>26005.98</v>
      </c>
      <c r="E5" s="19" t="n">
        <f aca="false">C5*Products!$B$15</f>
        <v>9930.855</v>
      </c>
      <c r="F5" s="19" t="n">
        <f aca="false">C5*(Products!$B$16+Products!$B$17+Products!$B$18)</f>
        <v>2080.4784</v>
      </c>
      <c r="G5" s="19" t="n">
        <f aca="false">Assumptions!$B$19</f>
        <v>5800</v>
      </c>
      <c r="H5" s="19" t="n">
        <f aca="false">Assumptions!$B$20</f>
        <v>15000</v>
      </c>
      <c r="I5" s="15" t="n">
        <f aca="false">E5+F5+G5+H5</f>
        <v>32811.3334</v>
      </c>
      <c r="J5" s="15" t="n">
        <f aca="false">D5-E5-F5-G5</f>
        <v>8194.6466</v>
      </c>
      <c r="K5" s="15" t="n">
        <f aca="false">J5-H5</f>
        <v>-6805.3534</v>
      </c>
      <c r="L5" s="15" t="n">
        <f aca="false">K5</f>
        <v>-6805.3534</v>
      </c>
      <c r="M5" s="19" t="n">
        <f aca="false">L5-'Break-even and Startup'!$B$10</f>
        <v>-106805.3534</v>
      </c>
      <c r="N5" s="13" t="n">
        <f aca="false">IF(M5&gt;=0,1,0)</f>
        <v>0</v>
      </c>
    </row>
    <row r="6" customFormat="false" ht="15" hidden="false" customHeight="false" outlineLevel="0" collapsed="false">
      <c r="A6" s="13" t="n">
        <v>2</v>
      </c>
      <c r="B6" s="20" t="n">
        <f aca="false">Assumptions!B25</f>
        <v>14</v>
      </c>
      <c r="C6" s="20" t="n">
        <f aca="false">B6*Assumptions!$B$5</f>
        <v>60.62</v>
      </c>
      <c r="D6" s="19" t="n">
        <f aca="false">C6*Products!$B$14</f>
        <v>40453.7466666667</v>
      </c>
      <c r="E6" s="19" t="n">
        <f aca="false">C6*Products!$B$15</f>
        <v>15447.9966666667</v>
      </c>
      <c r="F6" s="19" t="n">
        <f aca="false">C6*(Products!$B$16+Products!$B$17+Products!$B$18)</f>
        <v>3236.29973333333</v>
      </c>
      <c r="G6" s="19" t="n">
        <f aca="false">Assumptions!$B$19</f>
        <v>5800</v>
      </c>
      <c r="H6" s="19" t="n">
        <f aca="false">Assumptions!$B$20</f>
        <v>15000</v>
      </c>
      <c r="I6" s="15" t="n">
        <f aca="false">E6+F6+G6+H6</f>
        <v>39484.2964</v>
      </c>
      <c r="J6" s="15" t="n">
        <f aca="false">D6-E6-F6-G6</f>
        <v>15969.4502666667</v>
      </c>
      <c r="K6" s="15" t="n">
        <f aca="false">J6-H6</f>
        <v>969.450266666674</v>
      </c>
      <c r="L6" s="15" t="n">
        <f aca="false">L5+K6</f>
        <v>-5835.90313333333</v>
      </c>
      <c r="M6" s="19" t="n">
        <f aca="false">L6-'Break-even and Startup'!$B$10</f>
        <v>-105835.903133333</v>
      </c>
      <c r="N6" s="13" t="n">
        <f aca="false">IF(M6&gt;=0,1,0)</f>
        <v>0</v>
      </c>
    </row>
    <row r="7" customFormat="false" ht="15" hidden="false" customHeight="false" outlineLevel="0" collapsed="false">
      <c r="A7" s="13" t="n">
        <v>3</v>
      </c>
      <c r="B7" s="20" t="n">
        <f aca="false">Assumptions!B26</f>
        <v>18</v>
      </c>
      <c r="C7" s="20" t="n">
        <f aca="false">B7*Assumptions!$B$5</f>
        <v>77.94</v>
      </c>
      <c r="D7" s="19" t="n">
        <f aca="false">C7*Products!$B$14</f>
        <v>52011.96</v>
      </c>
      <c r="E7" s="19" t="n">
        <f aca="false">C7*Products!$B$15</f>
        <v>19861.71</v>
      </c>
      <c r="F7" s="19" t="n">
        <f aca="false">C7*(Products!$B$16+Products!$B$17+Products!$B$18)</f>
        <v>4160.9568</v>
      </c>
      <c r="G7" s="19" t="n">
        <f aca="false">Assumptions!$B$19</f>
        <v>5800</v>
      </c>
      <c r="H7" s="19" t="n">
        <f aca="false">Assumptions!$B$20</f>
        <v>15000</v>
      </c>
      <c r="I7" s="15" t="n">
        <f aca="false">E7+F7+G7+H7</f>
        <v>44822.6668</v>
      </c>
      <c r="J7" s="15" t="n">
        <f aca="false">D7-E7-F7-G7</f>
        <v>22189.2932</v>
      </c>
      <c r="K7" s="15" t="n">
        <f aca="false">J7-H7</f>
        <v>7189.2932</v>
      </c>
      <c r="L7" s="15" t="n">
        <f aca="false">L6+K7</f>
        <v>1353.39006666667</v>
      </c>
      <c r="M7" s="19" t="n">
        <f aca="false">L7-'Break-even and Startup'!$B$10</f>
        <v>-98646.6099333333</v>
      </c>
      <c r="N7" s="13" t="n">
        <f aca="false">IF(M7&gt;=0,1,0)</f>
        <v>0</v>
      </c>
    </row>
    <row r="8" customFormat="false" ht="15" hidden="false" customHeight="false" outlineLevel="0" collapsed="false">
      <c r="A8" s="13" t="n">
        <v>4</v>
      </c>
      <c r="B8" s="20" t="n">
        <f aca="false">Assumptions!B27</f>
        <v>20</v>
      </c>
      <c r="C8" s="20" t="n">
        <f aca="false">B8*Assumptions!$B$5</f>
        <v>86.6</v>
      </c>
      <c r="D8" s="19" t="n">
        <f aca="false">C8*Products!$B$14</f>
        <v>57791.0666666667</v>
      </c>
      <c r="E8" s="19" t="n">
        <f aca="false">C8*Products!$B$15</f>
        <v>22068.5666666667</v>
      </c>
      <c r="F8" s="19" t="n">
        <f aca="false">C8*(Products!$B$16+Products!$B$17+Products!$B$18)</f>
        <v>4623.28533333333</v>
      </c>
      <c r="G8" s="19" t="n">
        <f aca="false">Assumptions!$B$19</f>
        <v>5800</v>
      </c>
      <c r="H8" s="19" t="n">
        <f aca="false">Assumptions!$B$20</f>
        <v>15000</v>
      </c>
      <c r="I8" s="15" t="n">
        <f aca="false">E8+F8+G8+H8</f>
        <v>47491.852</v>
      </c>
      <c r="J8" s="15" t="n">
        <f aca="false">D8-E8-F8-G8</f>
        <v>25299.2146666667</v>
      </c>
      <c r="K8" s="15" t="n">
        <f aca="false">J8-H8</f>
        <v>10299.2146666667</v>
      </c>
      <c r="L8" s="15" t="n">
        <f aca="false">L7+K8</f>
        <v>11652.6047333333</v>
      </c>
      <c r="M8" s="19" t="n">
        <f aca="false">L8-'Break-even and Startup'!$B$10</f>
        <v>-88347.3952666667</v>
      </c>
      <c r="N8" s="13" t="n">
        <f aca="false">IF(M8&gt;=0,1,0)</f>
        <v>0</v>
      </c>
    </row>
    <row r="9" customFormat="false" ht="15" hidden="false" customHeight="false" outlineLevel="0" collapsed="false">
      <c r="A9" s="13" t="n">
        <v>5</v>
      </c>
      <c r="B9" s="20" t="n">
        <f aca="false">Assumptions!B28</f>
        <v>23</v>
      </c>
      <c r="C9" s="20" t="n">
        <f aca="false">B9*Assumptions!$B$5</f>
        <v>99.59</v>
      </c>
      <c r="D9" s="19" t="n">
        <f aca="false">C9*Products!$B$14</f>
        <v>66459.7266666667</v>
      </c>
      <c r="E9" s="19" t="n">
        <f aca="false">C9*Products!$B$15</f>
        <v>25378.8516666667</v>
      </c>
      <c r="F9" s="19" t="n">
        <f aca="false">C9*(Products!$B$16+Products!$B$17+Products!$B$18)</f>
        <v>5316.77813333333</v>
      </c>
      <c r="G9" s="19" t="n">
        <f aca="false">Assumptions!$B$19</f>
        <v>5800</v>
      </c>
      <c r="H9" s="19" t="n">
        <f aca="false">Assumptions!$B$20</f>
        <v>15000</v>
      </c>
      <c r="I9" s="15" t="n">
        <f aca="false">E9+F9+G9+H9</f>
        <v>51495.6298</v>
      </c>
      <c r="J9" s="15" t="n">
        <f aca="false">D9-E9-F9-G9</f>
        <v>29964.0968666667</v>
      </c>
      <c r="K9" s="15" t="n">
        <f aca="false">J9-H9</f>
        <v>14964.0968666667</v>
      </c>
      <c r="L9" s="15" t="n">
        <f aca="false">L8+K9</f>
        <v>26616.7016</v>
      </c>
      <c r="M9" s="19" t="n">
        <f aca="false">L9-'Break-even and Startup'!$B$10</f>
        <v>-73383.2984</v>
      </c>
      <c r="N9" s="13" t="n">
        <f aca="false">IF(M9&gt;=0,1,0)</f>
        <v>0</v>
      </c>
    </row>
    <row r="10" customFormat="false" ht="15" hidden="false" customHeight="false" outlineLevel="0" collapsed="false">
      <c r="A10" s="13" t="n">
        <v>6</v>
      </c>
      <c r="B10" s="20" t="n">
        <f aca="false">Assumptions!B29</f>
        <v>28</v>
      </c>
      <c r="C10" s="20" t="n">
        <f aca="false">B10*Assumptions!$B$5</f>
        <v>121.24</v>
      </c>
      <c r="D10" s="19" t="n">
        <f aca="false">C10*Products!$B$14</f>
        <v>80907.4933333334</v>
      </c>
      <c r="E10" s="19" t="n">
        <f aca="false">C10*Products!$B$15</f>
        <v>30895.9933333333</v>
      </c>
      <c r="F10" s="19" t="n">
        <f aca="false">C10*(Products!$B$16+Products!$B$17+Products!$B$18)</f>
        <v>6472.59946666667</v>
      </c>
      <c r="G10" s="19" t="n">
        <f aca="false">Assumptions!$B$19</f>
        <v>5800</v>
      </c>
      <c r="H10" s="19" t="n">
        <f aca="false">Assumptions!$B$20</f>
        <v>15000</v>
      </c>
      <c r="I10" s="15" t="n">
        <f aca="false">E10+F10+G10+H10</f>
        <v>58168.5928</v>
      </c>
      <c r="J10" s="15" t="n">
        <f aca="false">D10-E10-F10-G10</f>
        <v>37738.9005333334</v>
      </c>
      <c r="K10" s="15" t="n">
        <f aca="false">J10-H10</f>
        <v>22738.9005333333</v>
      </c>
      <c r="L10" s="15" t="n">
        <f aca="false">L9+K10</f>
        <v>49355.6021333334</v>
      </c>
      <c r="M10" s="19" t="n">
        <f aca="false">L10-'Break-even and Startup'!$B$10</f>
        <v>-50644.3978666666</v>
      </c>
      <c r="N10" s="13" t="n">
        <f aca="false">IF(M10&gt;=0,1,0)</f>
        <v>0</v>
      </c>
    </row>
    <row r="11" customFormat="false" ht="15" hidden="false" customHeight="false" outlineLevel="0" collapsed="false">
      <c r="A11" s="13" t="n">
        <v>7</v>
      </c>
      <c r="B11" s="20" t="n">
        <f aca="false">Assumptions!B30</f>
        <v>30</v>
      </c>
      <c r="C11" s="20" t="n">
        <f aca="false">B11*Assumptions!$B$5</f>
        <v>129.9</v>
      </c>
      <c r="D11" s="19" t="n">
        <f aca="false">C11*Products!$B$14</f>
        <v>86686.6</v>
      </c>
      <c r="E11" s="19" t="n">
        <f aca="false">C11*Products!$B$15</f>
        <v>33102.85</v>
      </c>
      <c r="F11" s="19" t="n">
        <f aca="false">C11*(Products!$B$16+Products!$B$17+Products!$B$18)</f>
        <v>6934.928</v>
      </c>
      <c r="G11" s="19" t="n">
        <f aca="false">Assumptions!$B$19</f>
        <v>5800</v>
      </c>
      <c r="H11" s="19" t="n">
        <f aca="false">Assumptions!$B$20</f>
        <v>15000</v>
      </c>
      <c r="I11" s="15" t="n">
        <f aca="false">E11+F11+G11+H11</f>
        <v>60837.778</v>
      </c>
      <c r="J11" s="15" t="n">
        <f aca="false">D11-E11-F11-G11</f>
        <v>40848.822</v>
      </c>
      <c r="K11" s="15" t="n">
        <f aca="false">J11-H11</f>
        <v>25848.822</v>
      </c>
      <c r="L11" s="15" t="n">
        <f aca="false">L10+K11</f>
        <v>75204.4241333334</v>
      </c>
      <c r="M11" s="19" t="n">
        <f aca="false">L11-'Break-even and Startup'!$B$10</f>
        <v>-24795.5758666666</v>
      </c>
      <c r="N11" s="13" t="n">
        <f aca="false">IF(M11&gt;=0,1,0)</f>
        <v>0</v>
      </c>
    </row>
    <row r="12" customFormat="false" ht="15" hidden="false" customHeight="false" outlineLevel="0" collapsed="false">
      <c r="A12" s="13" t="n">
        <v>8</v>
      </c>
      <c r="B12" s="20" t="n">
        <f aca="false">Assumptions!B31</f>
        <v>30</v>
      </c>
      <c r="C12" s="20" t="n">
        <f aca="false">B12*Assumptions!$B$5</f>
        <v>129.9</v>
      </c>
      <c r="D12" s="19" t="n">
        <f aca="false">C12*Products!$B$14</f>
        <v>86686.6</v>
      </c>
      <c r="E12" s="19" t="n">
        <f aca="false">C12*Products!$B$15</f>
        <v>33102.85</v>
      </c>
      <c r="F12" s="19" t="n">
        <f aca="false">C12*(Products!$B$16+Products!$B$17+Products!$B$18)</f>
        <v>6934.928</v>
      </c>
      <c r="G12" s="19" t="n">
        <f aca="false">Assumptions!$B$19</f>
        <v>5800</v>
      </c>
      <c r="H12" s="19" t="n">
        <f aca="false">Assumptions!$B$20</f>
        <v>15000</v>
      </c>
      <c r="I12" s="15" t="n">
        <f aca="false">E12+F12+G12+H12</f>
        <v>60837.778</v>
      </c>
      <c r="J12" s="15" t="n">
        <f aca="false">D12-E12-F12-G12</f>
        <v>40848.822</v>
      </c>
      <c r="K12" s="15" t="n">
        <f aca="false">J12-H12</f>
        <v>25848.822</v>
      </c>
      <c r="L12" s="15" t="n">
        <f aca="false">L11+K12</f>
        <v>101053.246133333</v>
      </c>
      <c r="M12" s="19" t="n">
        <f aca="false">L12-'Break-even and Startup'!$B$10</f>
        <v>1053.24613333336</v>
      </c>
      <c r="N12" s="13" t="n">
        <f aca="false">IF(M12&gt;=0,1,0)</f>
        <v>1</v>
      </c>
    </row>
    <row r="13" customFormat="false" ht="15" hidden="false" customHeight="false" outlineLevel="0" collapsed="false">
      <c r="A13" s="13" t="n">
        <v>9</v>
      </c>
      <c r="B13" s="20" t="n">
        <f aca="false">Assumptions!B32</f>
        <v>30</v>
      </c>
      <c r="C13" s="20" t="n">
        <f aca="false">B13*Assumptions!$B$5</f>
        <v>129.9</v>
      </c>
      <c r="D13" s="19" t="n">
        <f aca="false">C13*Products!$B$14</f>
        <v>86686.6</v>
      </c>
      <c r="E13" s="19" t="n">
        <f aca="false">C13*Products!$B$15</f>
        <v>33102.85</v>
      </c>
      <c r="F13" s="19" t="n">
        <f aca="false">C13*(Products!$B$16+Products!$B$17+Products!$B$18)</f>
        <v>6934.928</v>
      </c>
      <c r="G13" s="19" t="n">
        <f aca="false">Assumptions!$B$19</f>
        <v>5800</v>
      </c>
      <c r="H13" s="19" t="n">
        <f aca="false">Assumptions!$B$20</f>
        <v>15000</v>
      </c>
      <c r="I13" s="15" t="n">
        <f aca="false">E13+F13+G13+H13</f>
        <v>60837.778</v>
      </c>
      <c r="J13" s="15" t="n">
        <f aca="false">D13-E13-F13-G13</f>
        <v>40848.822</v>
      </c>
      <c r="K13" s="15" t="n">
        <f aca="false">J13-H13</f>
        <v>25848.822</v>
      </c>
      <c r="L13" s="15" t="n">
        <f aca="false">L12+K13</f>
        <v>126902.068133333</v>
      </c>
      <c r="M13" s="19" t="n">
        <f aca="false">L13-'Break-even and Startup'!$B$10</f>
        <v>26902.0681333334</v>
      </c>
      <c r="N13" s="13" t="n">
        <f aca="false">IF(M13&gt;=0,1,0)</f>
        <v>1</v>
      </c>
    </row>
    <row r="14" customFormat="false" ht="15" hidden="false" customHeight="false" outlineLevel="0" collapsed="false">
      <c r="A14" s="13" t="n">
        <v>10</v>
      </c>
      <c r="B14" s="20" t="n">
        <f aca="false">Assumptions!B33</f>
        <v>30</v>
      </c>
      <c r="C14" s="20" t="n">
        <f aca="false">B14*Assumptions!$B$5</f>
        <v>129.9</v>
      </c>
      <c r="D14" s="19" t="n">
        <f aca="false">C14*Products!$B$14</f>
        <v>86686.6</v>
      </c>
      <c r="E14" s="19" t="n">
        <f aca="false">C14*Products!$B$15</f>
        <v>33102.85</v>
      </c>
      <c r="F14" s="19" t="n">
        <f aca="false">C14*(Products!$B$16+Products!$B$17+Products!$B$18)</f>
        <v>6934.928</v>
      </c>
      <c r="G14" s="19" t="n">
        <f aca="false">Assumptions!$B$19</f>
        <v>5800</v>
      </c>
      <c r="H14" s="19" t="n">
        <f aca="false">Assumptions!$B$20</f>
        <v>15000</v>
      </c>
      <c r="I14" s="15" t="n">
        <f aca="false">E14+F14+G14+H14</f>
        <v>60837.778</v>
      </c>
      <c r="J14" s="15" t="n">
        <f aca="false">D14-E14-F14-G14</f>
        <v>40848.822</v>
      </c>
      <c r="K14" s="15" t="n">
        <f aca="false">J14-H14</f>
        <v>25848.822</v>
      </c>
      <c r="L14" s="15" t="n">
        <f aca="false">L13+K14</f>
        <v>152750.890133333</v>
      </c>
      <c r="M14" s="19" t="n">
        <f aca="false">L14-'Break-even and Startup'!$B$10</f>
        <v>52750.8901333334</v>
      </c>
      <c r="N14" s="13" t="n">
        <f aca="false">IF(M14&gt;=0,1,0)</f>
        <v>1</v>
      </c>
    </row>
    <row r="15" customFormat="false" ht="15" hidden="false" customHeight="false" outlineLevel="0" collapsed="false">
      <c r="A15" s="13" t="n">
        <v>11</v>
      </c>
      <c r="B15" s="20" t="n">
        <f aca="false">Assumptions!B34</f>
        <v>30</v>
      </c>
      <c r="C15" s="20" t="n">
        <f aca="false">B15*Assumptions!$B$5</f>
        <v>129.9</v>
      </c>
      <c r="D15" s="19" t="n">
        <f aca="false">C15*Products!$B$14</f>
        <v>86686.6</v>
      </c>
      <c r="E15" s="19" t="n">
        <f aca="false">C15*Products!$B$15</f>
        <v>33102.85</v>
      </c>
      <c r="F15" s="19" t="n">
        <f aca="false">C15*(Products!$B$16+Products!$B$17+Products!$B$18)</f>
        <v>6934.928</v>
      </c>
      <c r="G15" s="19" t="n">
        <f aca="false">Assumptions!$B$19</f>
        <v>5800</v>
      </c>
      <c r="H15" s="19" t="n">
        <f aca="false">Assumptions!$B$20</f>
        <v>15000</v>
      </c>
      <c r="I15" s="15" t="n">
        <f aca="false">E15+F15+G15+H15</f>
        <v>60837.778</v>
      </c>
      <c r="J15" s="15" t="n">
        <f aca="false">D15-E15-F15-G15</f>
        <v>40848.822</v>
      </c>
      <c r="K15" s="15" t="n">
        <f aca="false">J15-H15</f>
        <v>25848.822</v>
      </c>
      <c r="L15" s="15" t="n">
        <f aca="false">L14+K15</f>
        <v>178599.712133333</v>
      </c>
      <c r="M15" s="19" t="n">
        <f aca="false">L15-'Break-even and Startup'!$B$10</f>
        <v>78599.7121333334</v>
      </c>
      <c r="N15" s="13" t="n">
        <f aca="false">IF(M15&gt;=0,1,0)</f>
        <v>1</v>
      </c>
    </row>
    <row r="16" customFormat="false" ht="15" hidden="false" customHeight="false" outlineLevel="0" collapsed="false">
      <c r="A16" s="13" t="n">
        <v>12</v>
      </c>
      <c r="B16" s="20" t="n">
        <f aca="false">Assumptions!B35</f>
        <v>30</v>
      </c>
      <c r="C16" s="20" t="n">
        <f aca="false">B16*Assumptions!$B$5</f>
        <v>129.9</v>
      </c>
      <c r="D16" s="19" t="n">
        <f aca="false">C16*Products!$B$14</f>
        <v>86686.6</v>
      </c>
      <c r="E16" s="19" t="n">
        <f aca="false">C16*Products!$B$15</f>
        <v>33102.85</v>
      </c>
      <c r="F16" s="19" t="n">
        <f aca="false">C16*(Products!$B$16+Products!$B$17+Products!$B$18)</f>
        <v>6934.928</v>
      </c>
      <c r="G16" s="19" t="n">
        <f aca="false">Assumptions!$B$19</f>
        <v>5800</v>
      </c>
      <c r="H16" s="19" t="n">
        <f aca="false">Assumptions!$B$20</f>
        <v>15000</v>
      </c>
      <c r="I16" s="15" t="n">
        <f aca="false">E16+F16+G16+H16</f>
        <v>60837.778</v>
      </c>
      <c r="J16" s="15" t="n">
        <f aca="false">D16-E16-F16-G16</f>
        <v>40848.822</v>
      </c>
      <c r="K16" s="15" t="n">
        <f aca="false">J16-H16</f>
        <v>25848.822</v>
      </c>
      <c r="L16" s="15" t="n">
        <f aca="false">L15+K16</f>
        <v>204448.534133333</v>
      </c>
      <c r="M16" s="19" t="n">
        <f aca="false">L16-'Break-even and Startup'!$B$10</f>
        <v>104448.534133333</v>
      </c>
      <c r="N16" s="13" t="n">
        <f aca="false">IF(M16&gt;=0,1,0)</f>
        <v>1</v>
      </c>
    </row>
    <row r="17" customFormat="false" ht="15" hidden="false" customHeight="false" outlineLevel="0" collapsed="false">
      <c r="A17" s="11" t="s">
        <v>52</v>
      </c>
      <c r="B17" s="4"/>
      <c r="C17" s="21" t="n">
        <f aca="false">SUM(C5:C16)</f>
        <v>1264.36</v>
      </c>
      <c r="D17" s="12" t="n">
        <f aca="false">SUM(D5:D16)</f>
        <v>843749.573333333</v>
      </c>
      <c r="E17" s="12" t="n">
        <f aca="false">SUM(E5:E16)</f>
        <v>322201.073333333</v>
      </c>
      <c r="F17" s="12" t="n">
        <f aca="false">SUM(F5:F16)</f>
        <v>67499.9658666667</v>
      </c>
      <c r="G17" s="12" t="n">
        <f aca="false">SUM(G5:G16)</f>
        <v>69600</v>
      </c>
      <c r="H17" s="12" t="n">
        <f aca="false">SUM(H5:H16)</f>
        <v>180000</v>
      </c>
      <c r="I17" s="12" t="n">
        <f aca="false">SUM(I5:I16)</f>
        <v>639301.0392</v>
      </c>
      <c r="J17" s="12" t="n">
        <f aca="false">SUM(J5:J16)</f>
        <v>384448.534133333</v>
      </c>
      <c r="K17" s="12" t="n">
        <f aca="false">SUM(K5:K16)</f>
        <v>204448.534133333</v>
      </c>
      <c r="L17" s="4"/>
      <c r="M17" s="4"/>
      <c r="N17" s="4"/>
    </row>
    <row r="19" customFormat="false" ht="15" hidden="false" customHeight="false" outlineLevel="0" collapsed="false">
      <c r="A19" s="10" t="s">
        <v>78</v>
      </c>
    </row>
    <row r="20" customFormat="false" ht="15" hidden="false" customHeight="false" outlineLevel="0" collapsed="false">
      <c r="A20" s="4" t="s">
        <v>79</v>
      </c>
      <c r="B20" s="4"/>
      <c r="C20" s="4"/>
      <c r="D20" s="4"/>
      <c r="E20" s="15" t="n">
        <f aca="false">SUM(J5:J10)+6*Assumptions!B14*Assumptions!B9</f>
        <v>148355.602133333</v>
      </c>
    </row>
    <row r="21" customFormat="false" ht="15" hidden="false" customHeight="false" outlineLevel="0" collapsed="false">
      <c r="A21" s="4" t="s">
        <v>80</v>
      </c>
      <c r="B21" s="4"/>
      <c r="C21" s="4"/>
      <c r="D21" s="4"/>
      <c r="E21" s="8" t="n">
        <v>148600</v>
      </c>
    </row>
    <row r="22" customFormat="false" ht="15" hidden="false" customHeight="false" outlineLevel="0" collapsed="false">
      <c r="A22" s="4" t="s">
        <v>81</v>
      </c>
      <c r="B22" s="4"/>
      <c r="C22" s="4"/>
      <c r="D22" s="4"/>
      <c r="E22" s="12" t="n">
        <f aca="false">E20-E21</f>
        <v>-244.397866666666</v>
      </c>
    </row>
  </sheetData>
  <mergeCells count="3"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84</v>
      </c>
      <c r="B4" s="3" t="s">
        <v>85</v>
      </c>
      <c r="C4" s="3" t="s">
        <v>86</v>
      </c>
    </row>
    <row r="5" customFormat="false" ht="15" hidden="false" customHeight="false" outlineLevel="0" collapsed="false">
      <c r="A5" s="4" t="s">
        <v>87</v>
      </c>
      <c r="B5" s="8" t="n">
        <v>35000</v>
      </c>
      <c r="C5" s="16" t="n">
        <f aca="false">IF($B$10=0,0,B5/$B$10)</f>
        <v>0.35</v>
      </c>
    </row>
    <row r="6" customFormat="false" ht="15" hidden="false" customHeight="false" outlineLevel="0" collapsed="false">
      <c r="A6" s="4" t="s">
        <v>88</v>
      </c>
      <c r="B6" s="8" t="n">
        <v>20000</v>
      </c>
      <c r="C6" s="16" t="n">
        <f aca="false">IF($B$10=0,0,B6/$B$10)</f>
        <v>0.2</v>
      </c>
    </row>
    <row r="7" customFormat="false" ht="15" hidden="false" customHeight="false" outlineLevel="0" collapsed="false">
      <c r="A7" s="4" t="s">
        <v>89</v>
      </c>
      <c r="B7" s="8" t="n">
        <v>15000</v>
      </c>
      <c r="C7" s="16" t="n">
        <f aca="false">IF($B$10=0,0,B7/$B$10)</f>
        <v>0.15</v>
      </c>
    </row>
    <row r="8" customFormat="false" ht="15" hidden="false" customHeight="false" outlineLevel="0" collapsed="false">
      <c r="A8" s="4" t="s">
        <v>90</v>
      </c>
      <c r="B8" s="8" t="n">
        <v>15000</v>
      </c>
      <c r="C8" s="16" t="n">
        <f aca="false">IF($B$10=0,0,B8/$B$10)</f>
        <v>0.15</v>
      </c>
    </row>
    <row r="9" customFormat="false" ht="15" hidden="false" customHeight="false" outlineLevel="0" collapsed="false">
      <c r="A9" s="4" t="s">
        <v>91</v>
      </c>
      <c r="B9" s="8" t="n">
        <v>15000</v>
      </c>
      <c r="C9" s="16" t="n">
        <f aca="false">IF($B$10=0,0,B9/$B$10)</f>
        <v>0.15</v>
      </c>
    </row>
    <row r="10" customFormat="false" ht="15" hidden="false" customHeight="false" outlineLevel="0" collapsed="false">
      <c r="A10" s="11" t="s">
        <v>92</v>
      </c>
      <c r="B10" s="12" t="n">
        <f aca="false">SUM(B5:B9)</f>
        <v>100000</v>
      </c>
      <c r="C10" s="18" t="n">
        <f aca="false">SUM(C5:C9)</f>
        <v>1</v>
      </c>
    </row>
    <row r="12" customFormat="false" ht="15" hidden="false" customHeight="false" outlineLevel="0" collapsed="false">
      <c r="A12" s="10" t="s">
        <v>93</v>
      </c>
    </row>
    <row r="13" customFormat="false" ht="42" hidden="false" customHeight="true" outlineLevel="0" collapsed="false">
      <c r="A13" s="3" t="s">
        <v>94</v>
      </c>
      <c r="B13" s="3" t="s">
        <v>26</v>
      </c>
      <c r="C13" s="3" t="s">
        <v>95</v>
      </c>
      <c r="D13" s="3" t="s">
        <v>96</v>
      </c>
      <c r="E13" s="3" t="s">
        <v>97</v>
      </c>
      <c r="F13" s="3" t="s">
        <v>98</v>
      </c>
    </row>
    <row r="14" customFormat="false" ht="15" hidden="false" customHeight="false" outlineLevel="0" collapsed="false">
      <c r="A14" s="4" t="s">
        <v>99</v>
      </c>
      <c r="B14" s="8" t="n">
        <v>0</v>
      </c>
      <c r="C14" s="19" t="n">
        <f aca="false">Assumptions!$B$19+B14</f>
        <v>5800</v>
      </c>
      <c r="D14" s="22" t="n">
        <f aca="false">IF(Products!$B$20&lt;=0,0,ROUNDUP(C14/Products!$B$20,0))</f>
        <v>17</v>
      </c>
      <c r="E14" s="22" t="n">
        <f aca="false">IF(Assumptions!$B$5=0,0,ROUNDUP(D14/Assumptions!$B$5,0))</f>
        <v>4</v>
      </c>
      <c r="F14" s="19" t="n">
        <f aca="false">D14*Products!$B$14</f>
        <v>11344.6666666667</v>
      </c>
    </row>
    <row r="15" customFormat="false" ht="15" hidden="false" customHeight="false" outlineLevel="0" collapsed="false">
      <c r="A15" s="4" t="s">
        <v>100</v>
      </c>
      <c r="B15" s="8" t="n">
        <v>15000</v>
      </c>
      <c r="C15" s="19" t="n">
        <f aca="false">Assumptions!$B$19+B15</f>
        <v>20800</v>
      </c>
      <c r="D15" s="22" t="n">
        <f aca="false">IF(Products!$B$20&lt;=0,0,ROUNDUP(C15/Products!$B$20,0))</f>
        <v>58</v>
      </c>
      <c r="E15" s="22" t="n">
        <f aca="false">IF(Assumptions!$B$5=0,0,ROUNDUP(D15/Assumptions!$B$5,0))</f>
        <v>14</v>
      </c>
      <c r="F15" s="19" t="n">
        <f aca="false">D15*Products!$B$14</f>
        <v>38705.3333333333</v>
      </c>
    </row>
    <row r="16" customFormat="false" ht="15" hidden="false" customHeight="false" outlineLevel="0" collapsed="false">
      <c r="A16" s="4" t="s">
        <v>101</v>
      </c>
      <c r="B16" s="8" t="n">
        <v>25000</v>
      </c>
      <c r="C16" s="19" t="n">
        <f aca="false">Assumptions!$B$19+B16</f>
        <v>30800</v>
      </c>
      <c r="D16" s="22" t="n">
        <f aca="false">IF(Products!$B$20&lt;=0,0,ROUNDUP(C16/Products!$B$20,0))</f>
        <v>86</v>
      </c>
      <c r="E16" s="22" t="n">
        <f aca="false">IF(Assumptions!$B$5=0,0,ROUNDUP(D16/Assumptions!$B$5,0))</f>
        <v>20</v>
      </c>
      <c r="F16" s="19" t="n">
        <f aca="false">D16*Products!$B$14</f>
        <v>57390.6666666667</v>
      </c>
    </row>
    <row r="18" customFormat="false" ht="15" hidden="false" customHeight="false" outlineLevel="0" collapsed="false">
      <c r="A18" s="10" t="s">
        <v>102</v>
      </c>
    </row>
    <row r="19" customFormat="false" ht="15" hidden="false" customHeight="false" outlineLevel="0" collapsed="false">
      <c r="A19" s="3" t="s">
        <v>54</v>
      </c>
      <c r="B19" s="3" t="s">
        <v>3</v>
      </c>
    </row>
    <row r="20" customFormat="false" ht="15" hidden="false" customHeight="false" outlineLevel="0" collapsed="false">
      <c r="A20" s="4" t="s">
        <v>103</v>
      </c>
      <c r="B20" s="19" t="n">
        <f aca="false">Products!B20</f>
        <v>359.113333333333</v>
      </c>
    </row>
    <row r="21" customFormat="false" ht="15" hidden="false" customHeight="false" outlineLevel="0" collapsed="false">
      <c r="A21" s="4" t="s">
        <v>104</v>
      </c>
      <c r="B21" s="23" t="n">
        <f aca="false">IFERROR(INDEX('Monthly Projection'!A5:A16,MATCH(1,'Monthly Projection'!N5:N16,0)),"Not within 12 months")</f>
        <v>8</v>
      </c>
    </row>
    <row r="22" customFormat="false" ht="15" hidden="false" customHeight="false" outlineLevel="0" collapsed="false">
      <c r="A22" s="4" t="s">
        <v>105</v>
      </c>
      <c r="B22" s="19" t="n">
        <f aca="false">Products!I10*Assumptions!B5*Products!B20-Assumptions!B19</f>
        <v>40848.822</v>
      </c>
    </row>
    <row r="23" customFormat="false" ht="15" hidden="false" customHeight="false" outlineLevel="0" collapsed="false">
      <c r="A23" s="4" t="s">
        <v>106</v>
      </c>
      <c r="B23" s="19" t="n">
        <f aca="false">B22-Assumptions!B20</f>
        <v>25848.822</v>
      </c>
    </row>
    <row r="25" customFormat="false" ht="15" hidden="false" customHeight="false" outlineLevel="0" collapsed="false">
      <c r="A25" s="10" t="s">
        <v>107</v>
      </c>
    </row>
    <row r="26" customFormat="false" ht="15" hidden="false" customHeight="false" outlineLevel="0" collapsed="false">
      <c r="A26" s="3" t="s">
        <v>30</v>
      </c>
      <c r="B26" s="3" t="s">
        <v>108</v>
      </c>
      <c r="C26" s="3" t="s">
        <v>109</v>
      </c>
    </row>
    <row r="27" customFormat="false" ht="15" hidden="false" customHeight="false" outlineLevel="0" collapsed="false">
      <c r="A27" s="14" t="n">
        <v>20</v>
      </c>
      <c r="B27" s="19" t="n">
        <f aca="false">A27*Assumptions!$B$5*Products!$B$20-Assumptions!$B$19</f>
        <v>25299.2146666667</v>
      </c>
      <c r="C27" s="19" t="n">
        <f aca="false">B27-Assumptions!$B$20</f>
        <v>10299.2146666667</v>
      </c>
    </row>
    <row r="28" customFormat="false" ht="15" hidden="false" customHeight="false" outlineLevel="0" collapsed="false">
      <c r="A28" s="14" t="n">
        <v>25</v>
      </c>
      <c r="B28" s="19" t="n">
        <f aca="false">A28*Assumptions!$B$5*Products!$B$20-Assumptions!$B$19</f>
        <v>33074.0183333333</v>
      </c>
      <c r="C28" s="19" t="n">
        <f aca="false">B28-Assumptions!$B$20</f>
        <v>18074.0183333333</v>
      </c>
    </row>
    <row r="29" customFormat="false" ht="15" hidden="false" customHeight="false" outlineLevel="0" collapsed="false">
      <c r="A29" s="14" t="n">
        <v>30</v>
      </c>
      <c r="B29" s="19" t="n">
        <f aca="false">A29*Assumptions!$B$5*Products!$B$20-Assumptions!$B$19</f>
        <v>40848.822</v>
      </c>
      <c r="C29" s="19" t="n">
        <f aca="false">B29-Assumptions!$B$20</f>
        <v>25848.822</v>
      </c>
    </row>
    <row r="31" customFormat="false" ht="15" hidden="false" customHeight="false" outlineLevel="0" collapsed="false">
      <c r="A31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2026-10-24T08:44:27Z</dcterms:created>
  <dc:creator>openpyxl</dc:creator>
  <dc:description/>
  <dc:language>en-US</dc:language>
  <cp:lastModifiedBy/>
  <dcterms:modified xsi:type="dcterms:W3CDTF">2026-10-24T08:44:30Z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